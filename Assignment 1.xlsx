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650" activeTab="2"/>
  </bookViews>
  <sheets>
    <sheet name="Sheet13" sheetId="14" r:id="rId1"/>
    <sheet name="Sheet15" sheetId="16" r:id="rId2"/>
    <sheet name="cleaned dataset" sheetId="1" r:id="rId3"/>
    <sheet name="Sheet1" sheetId="2" r:id="rId4"/>
  </sheets>
  <definedNames>
    <definedName name="_xlnm._FilterDatabase" localSheetId="2" hidden="1">'cleaned dataset'!$A$2:$F$201</definedName>
    <definedName name="_xlcn.WorksheetConnection_cleaneddataset.xlsxTable2" hidden="1">Table2[]</definedName>
    <definedName name="_xlcn.WorksheetConnection_cleaneddataset.xlsxTable4" hidden="1">Table4[]</definedName>
    <definedName name="_xlnm.Print_Area" localSheetId="3">Sheet1!$A$2:$O$29</definedName>
  </definedNames>
  <calcPr calcId="162913"/>
  <pivotCaches>
    <pivotCache cacheId="3" r:id="rId5"/>
    <pivotCache cacheId="4" r:id="rId6"/>
  </pivotCaches>
  <extLst>
    <ext xmlns:x15="http://schemas.microsoft.com/office/spreadsheetml/2010/11/main" uri="{FCE2AD5D-F65C-4FA6-A056-5C36A1767C68}">
      <x15:dataModel>
        <x15:modelTables>
          <x15:modelTable id="Table4" name="Table4" connection="WorksheetConnection_cleaned dataset.xlsx!Table4"/>
          <x15:modelTable id="Table2" name="Table2" connection="WorksheetConnection_cleaned dataset.xlsx!Table2"/>
        </x15:modelTables>
      </x15:dataModel>
    </ext>
  </extLst>
</workbook>
</file>

<file path=xl/calcChain.xml><?xml version="1.0" encoding="utf-8"?>
<calcChain xmlns="http://schemas.openxmlformats.org/spreadsheetml/2006/main">
  <c r="M3" i="1" l="1"/>
  <c r="K3" i="1" l="1"/>
  <c r="L3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W6" i="1"/>
  <c r="W5" i="1"/>
  <c r="W4" i="1"/>
  <c r="R6" i="1"/>
  <c r="R5" i="1"/>
  <c r="R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J3" i="1"/>
  <c r="O3" i="1"/>
  <c r="J4" i="1"/>
  <c r="O4" i="1"/>
  <c r="J5" i="1"/>
  <c r="O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leaned dataset.xlsx!Table2" type="102" refreshedVersion="6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cleaneddataset.xlsxTable2"/>
        </x15:connection>
      </ext>
    </extLst>
  </connection>
  <connection id="3" name="WorksheetConnection_cleaned dataset.xlsx!Table4" type="102" refreshedVersion="6" minRefreshableVersion="5">
    <extLst>
      <ext xmlns:x15="http://schemas.microsoft.com/office/spreadsheetml/2010/11/main" uri="{DE250136-89BD-433C-8126-D09CA5730AF9}">
        <x15:connection id="Table4">
          <x15:rangePr sourceName="_xlcn.WorksheetConnection_cleaneddataset.xlsxTable4"/>
        </x15:connection>
      </ext>
    </extLst>
  </connection>
</connections>
</file>

<file path=xl/sharedStrings.xml><?xml version="1.0" encoding="utf-8"?>
<sst xmlns="http://schemas.openxmlformats.org/spreadsheetml/2006/main" count="269" uniqueCount="233">
  <si>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</si>
  <si>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</si>
  <si>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</si>
  <si>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</si>
  <si>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</si>
  <si>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</si>
  <si>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</si>
  <si>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</si>
  <si>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</si>
  <si>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</si>
  <si>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</si>
  <si>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</si>
  <si>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</si>
  <si>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</si>
  <si>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</si>
  <si>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</si>
  <si>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</si>
  <si>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</si>
  <si>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</si>
  <si>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</si>
  <si>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</si>
  <si>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</si>
  <si>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</si>
  <si>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</si>
  <si>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</si>
  <si>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</si>
  <si>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</si>
  <si>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</si>
  <si>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</si>
  <si>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</si>
  <si>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</si>
  <si>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</si>
  <si>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</si>
  <si>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</si>
  <si>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</si>
  <si>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</si>
  <si>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</si>
  <si>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</si>
  <si>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</si>
  <si>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</si>
  <si>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</si>
  <si>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</si>
  <si>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</si>
  <si>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</si>
  <si>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</si>
  <si>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</si>
  <si>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</si>
  <si>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</si>
  <si>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</si>
  <si>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</si>
  <si>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</si>
  <si>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</si>
  <si>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</si>
  <si>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</si>
  <si>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</si>
  <si>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</si>
  <si>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</si>
  <si>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</si>
  <si>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</si>
  <si>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</si>
  <si>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</si>
  <si>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</si>
  <si>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</si>
  <si>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</si>
  <si>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</si>
  <si>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</si>
  <si>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</si>
  <si>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</si>
  <si>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</si>
  <si>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</si>
  <si>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</si>
  <si>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</si>
  <si>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</si>
  <si>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</si>
  <si>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</si>
  <si>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</si>
  <si>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</si>
  <si>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</si>
  <si>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</si>
  <si>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</si>
  <si>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</si>
  <si>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</si>
  <si>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</si>
  <si>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</si>
  <si>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</si>
  <si>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</si>
  <si>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</si>
  <si>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</si>
  <si>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</si>
  <si>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</si>
  <si>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</si>
  <si>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</si>
  <si>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</si>
  <si>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</si>
  <si>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</si>
  <si>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</si>
  <si>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</si>
  <si>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</si>
  <si>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</si>
  <si>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</si>
  <si>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</si>
  <si>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</si>
  <si>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</si>
  <si>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</si>
  <si>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</si>
  <si>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</si>
  <si>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</si>
  <si>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</si>
  <si>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</si>
  <si>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</si>
  <si>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</si>
  <si>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</si>
  <si>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</si>
  <si>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</si>
  <si>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</si>
  <si>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</si>
  <si>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</si>
  <si>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</si>
  <si>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</si>
  <si>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</si>
  <si>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</si>
  <si>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</si>
  <si>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</si>
  <si>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</si>
  <si>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</si>
  <si>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</si>
  <si>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</si>
  <si>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</si>
  <si>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</si>
  <si>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</si>
  <si>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</si>
  <si>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</si>
  <si>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</si>
  <si>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</si>
  <si>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</si>
  <si>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</si>
  <si>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</si>
  <si>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</si>
  <si>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</si>
  <si>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</si>
  <si>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</si>
  <si>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</si>
  <si>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</si>
  <si>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</si>
  <si>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</si>
  <si>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</si>
  <si>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</si>
  <si>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</si>
  <si>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</si>
  <si>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</si>
  <si>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</si>
  <si>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</si>
  <si>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</si>
  <si>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</si>
  <si>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</si>
  <si>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</si>
  <si>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</si>
  <si>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</si>
  <si>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</si>
  <si>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</si>
  <si>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</si>
  <si>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</si>
  <si>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</si>
  <si>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</si>
  <si>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</si>
  <si>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</si>
  <si>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</si>
  <si>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</si>
  <si>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</si>
  <si>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</si>
  <si>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</si>
  <si>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</si>
  <si>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</si>
  <si>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</si>
  <si>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</si>
  <si>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</si>
  <si>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</si>
  <si>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</si>
  <si>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</si>
  <si>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</si>
  <si>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</si>
  <si>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</si>
  <si>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</si>
  <si>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</si>
  <si>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</si>
  <si>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</si>
  <si>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</si>
  <si>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</si>
  <si>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</si>
  <si>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</si>
  <si>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</si>
  <si>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</si>
  <si>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</si>
  <si>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</si>
  <si>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</si>
  <si>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</si>
  <si>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</si>
  <si>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</si>
  <si>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</si>
  <si>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</si>
  <si>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Student Id</t>
  </si>
  <si>
    <t>Hours Studied</t>
  </si>
  <si>
    <t>Sleep Hours</t>
  </si>
  <si>
    <t>Attendance  Percent</t>
  </si>
  <si>
    <t>Previous Scores</t>
  </si>
  <si>
    <t>Exam Score</t>
  </si>
  <si>
    <t>Column7</t>
  </si>
  <si>
    <t>Column9</t>
  </si>
  <si>
    <t>Column10</t>
  </si>
  <si>
    <t>Column11</t>
  </si>
  <si>
    <t>Column12</t>
  </si>
  <si>
    <t>Average</t>
  </si>
  <si>
    <t>Minimum</t>
  </si>
  <si>
    <t>Maximum</t>
  </si>
  <si>
    <t>If</t>
  </si>
  <si>
    <t>Index</t>
  </si>
  <si>
    <t>Column13</t>
  </si>
  <si>
    <t>Column14</t>
  </si>
  <si>
    <t>VLOOKUP</t>
  </si>
  <si>
    <t>Row Labels</t>
  </si>
  <si>
    <t>Pass</t>
  </si>
  <si>
    <t>Grand Total</t>
  </si>
  <si>
    <t>&gt; 90</t>
  </si>
  <si>
    <t>&lt;70</t>
  </si>
  <si>
    <t>&lt;60</t>
  </si>
  <si>
    <t>Attendance2</t>
  </si>
  <si>
    <t>&lt; 20</t>
  </si>
  <si>
    <t>&gt; 30</t>
  </si>
  <si>
    <t>&gt; 40</t>
  </si>
  <si>
    <t>Sum of Exam Score</t>
  </si>
  <si>
    <t>Result</t>
  </si>
  <si>
    <t>Range</t>
  </si>
  <si>
    <t>Sum of Attendance 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</si>
</sst>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7" tint="0.59999389629810485"/>
        <bgColor theme="7" tint="0.79998168889431442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medium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/>
      <bottom/>
      <diagonal/>
    </border>
    <border>
      <left style="thin">
        <color theme="7"/>
      </left>
      <right style="thin">
        <color theme="7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6" fillId="0" borderId="10" xfId="0" applyFont="1" applyBorder="1"/>
    <xf numFmtId="0" fontId="16" fillId="0" borderId="11" xfId="0" applyFont="1" applyBorder="1"/>
    <xf numFmtId="0" fontId="0" fillId="33" borderId="12" xfId="0" applyFont="1" applyFill="1" applyBorder="1"/>
    <xf numFmtId="0" fontId="0" fillId="0" borderId="10" xfId="0" applyFont="1" applyBorder="1"/>
    <xf numFmtId="0" fontId="0" fillId="33" borderId="10" xfId="0" applyFont="1" applyFill="1" applyBorder="1"/>
    <xf numFmtId="0" fontId="0" fillId="33" borderId="1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ont="1" applyFill="1" applyBorder="1"/>
    <xf numFmtId="0" fontId="0" fillId="0" borderId="0" xfId="0" applyAlignment="1">
      <alignment horizontal="left" indent="1"/>
    </xf>
    <xf numFmtId="0" fontId="0" fillId="0" borderId="0" xfId="0" applyNumberFormat="1"/>
    <xf numFmtId="0" fontId="0" fillId="35" borderId="15" xfId="0" applyFont="1" applyFill="1" applyBorder="1"/>
    <xf numFmtId="0" fontId="0" fillId="35" borderId="0" xfId="0" applyFont="1" applyFill="1" applyBorder="1"/>
    <xf numFmtId="0" fontId="0" fillId="34" borderId="0" xfId="0" applyFill="1"/>
    <xf numFmtId="0" fontId="0" fillId="36" borderId="15" xfId="0" applyFont="1" applyFill="1" applyBorder="1"/>
    <xf numFmtId="0" fontId="18" fillId="37" borderId="14" xfId="0" applyFont="1" applyFill="1" applyBorder="1"/>
    <xf numFmtId="0" fontId="19" fillId="36" borderId="12" xfId="0" applyFont="1" applyFill="1" applyBorder="1"/>
    <xf numFmtId="0" fontId="19" fillId="36" borderId="16" xfId="0" applyFont="1" applyFill="1" applyBorder="1"/>
    <xf numFmtId="0" fontId="0" fillId="37" borderId="14" xfId="0" applyFont="1" applyFill="1" applyBorder="1"/>
    <xf numFmtId="0" fontId="0" fillId="37" borderId="10" xfId="0" applyFont="1" applyFill="1" applyBorder="1"/>
    <xf numFmtId="0" fontId="0" fillId="36" borderId="14" xfId="0" applyFont="1" applyFill="1" applyBorder="1"/>
    <xf numFmtId="0" fontId="0" fillId="36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7" tint="0.79998168889431442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solid">
          <fgColor theme="7" tint="0.79998168889431442"/>
          <bgColor theme="7" tint="0.59999389629810485"/>
        </patternFill>
      </fill>
      <border diagonalUp="0" diagonalDown="0" outline="0">
        <left style="thin">
          <color theme="7"/>
        </left>
        <right style="thin">
          <color theme="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7" tint="0.79998168889431442"/>
          <bgColor theme="7" tint="0.59999389629810485"/>
        </patternFill>
      </fill>
      <border diagonalUp="0" diagonalDown="0" outline="0">
        <left style="thin">
          <color theme="7"/>
        </left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7" tint="0.79998168889431442"/>
          <bgColor theme="7" tint="0.59999389629810485"/>
        </patternFill>
      </fill>
      <border diagonalUp="0" diagonalDown="0" outline="0">
        <left style="thin">
          <color theme="7"/>
        </left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7" tint="0.79998168889431442"/>
          <bgColor theme="7" tint="0.59999389629810485"/>
        </patternFill>
      </fill>
      <border diagonalUp="0" diagonalDown="0" outline="0">
        <left style="thin">
          <color theme="7"/>
        </left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7" tint="0.79998168889431442"/>
          <bgColor theme="7" tint="0.59999389629810485"/>
        </patternFill>
      </fill>
      <border diagonalUp="0" diagonalDown="0" outline="0">
        <left style="thin">
          <color theme="7"/>
        </left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7" tint="0.79998168889431442"/>
          <bgColor theme="7" tint="0.59999389629810485"/>
        </patternFill>
      </fill>
      <border diagonalUp="0" diagonalDown="0" outline="0">
        <left style="thin">
          <color theme="7"/>
        </left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7" tint="0.79998168889431442"/>
          <bgColor theme="7" tint="0.59999389629810485"/>
        </patternFill>
      </fill>
      <border diagonalUp="0" diagonalDown="0" outline="0">
        <left style="thin">
          <color theme="7"/>
        </left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7" tint="0.79998168889431442"/>
          <bgColor theme="7" tint="0.59999389629810485"/>
        </patternFill>
      </fill>
      <border diagonalUp="0" diagonalDown="0" outline="0">
        <left/>
        <right/>
        <top style="thin">
          <color theme="7"/>
        </top>
        <bottom/>
      </border>
    </dxf>
    <dxf>
      <border outline="0">
        <left style="thin">
          <color theme="7"/>
        </left>
        <bottom style="thin">
          <color theme="7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1.xlsx]Sheet13!PivotTable12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Sheet13!$A$4:$A$24</c:f>
              <c:multiLvlStrCache>
                <c:ptCount val="10"/>
                <c:lvl>
                  <c:pt idx="0">
                    <c:v>Pass</c:v>
                  </c:pt>
                  <c:pt idx="1">
                    <c:v>Pass</c:v>
                  </c:pt>
                  <c:pt idx="2">
                    <c:v>Pass</c:v>
                  </c:pt>
                  <c:pt idx="3">
                    <c:v>Pass</c:v>
                  </c:pt>
                  <c:pt idx="4">
                    <c:v>Pass</c:v>
                  </c:pt>
                  <c:pt idx="5">
                    <c:v>Pass</c:v>
                  </c:pt>
                  <c:pt idx="6">
                    <c:v>Pass</c:v>
                  </c:pt>
                  <c:pt idx="7">
                    <c:v>Pass</c:v>
                  </c:pt>
                  <c:pt idx="8">
                    <c:v>Pass</c:v>
                  </c:pt>
                  <c:pt idx="9">
                    <c:v>Pass</c:v>
                  </c:pt>
                </c:lvl>
                <c:lvl>
                  <c:pt idx="0">
                    <c:v>S021</c:v>
                  </c:pt>
                  <c:pt idx="1">
                    <c:v>S054</c:v>
                  </c:pt>
                  <c:pt idx="2">
                    <c:v>S061</c:v>
                  </c:pt>
                  <c:pt idx="3">
                    <c:v>S072</c:v>
                  </c:pt>
                  <c:pt idx="4">
                    <c:v>S084</c:v>
                  </c:pt>
                  <c:pt idx="5">
                    <c:v>S087</c:v>
                  </c:pt>
                  <c:pt idx="6">
                    <c:v>S116</c:v>
                  </c:pt>
                  <c:pt idx="7">
                    <c:v>S121</c:v>
                  </c:pt>
                  <c:pt idx="8">
                    <c:v>S147</c:v>
                  </c:pt>
                  <c:pt idx="9">
                    <c:v>S194</c:v>
                  </c:pt>
                </c:lvl>
              </c:multiLvlStrCache>
            </c:multiLvlStrRef>
          </c:cat>
          <c:val>
            <c:numRef>
              <c:f>Sheet13!$B$4:$B$24</c:f>
              <c:numCache>
                <c:formatCode>General</c:formatCode>
                <c:ptCount val="10"/>
                <c:pt idx="0">
                  <c:v>46</c:v>
                </c:pt>
                <c:pt idx="1">
                  <c:v>46.4</c:v>
                </c:pt>
                <c:pt idx="2">
                  <c:v>48.6</c:v>
                </c:pt>
                <c:pt idx="3">
                  <c:v>47.9</c:v>
                </c:pt>
                <c:pt idx="4">
                  <c:v>48.9</c:v>
                </c:pt>
                <c:pt idx="5">
                  <c:v>51.3</c:v>
                </c:pt>
                <c:pt idx="6">
                  <c:v>46.4</c:v>
                </c:pt>
                <c:pt idx="7">
                  <c:v>47.9</c:v>
                </c:pt>
                <c:pt idx="8">
                  <c:v>45.8</c:v>
                </c:pt>
                <c:pt idx="9">
                  <c:v>46.7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1-4F61-95D9-AB4956070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2320111"/>
        <c:axId val="832318031"/>
      </c:barChart>
      <c:catAx>
        <c:axId val="83232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18031"/>
        <c:crosses val="autoZero"/>
        <c:auto val="1"/>
        <c:lblAlgn val="ctr"/>
        <c:lblOffset val="100"/>
        <c:noMultiLvlLbl val="0"/>
      </c:catAx>
      <c:valAx>
        <c:axId val="83231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2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[Assignment 1.xlsx]Sheet15!PivotTable14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Sheet15!$A$4:$A$14</c:f>
              <c:strCache>
                <c:ptCount val="10"/>
                <c:pt idx="0">
                  <c:v>S034</c:v>
                </c:pt>
                <c:pt idx="1">
                  <c:v>S042</c:v>
                </c:pt>
                <c:pt idx="2">
                  <c:v>S044</c:v>
                </c:pt>
                <c:pt idx="3">
                  <c:v>S086</c:v>
                </c:pt>
                <c:pt idx="4">
                  <c:v>S121</c:v>
                </c:pt>
                <c:pt idx="5">
                  <c:v>S142</c:v>
                </c:pt>
                <c:pt idx="6">
                  <c:v>S147</c:v>
                </c:pt>
                <c:pt idx="7">
                  <c:v>S158</c:v>
                </c:pt>
                <c:pt idx="8">
                  <c:v>S168</c:v>
                </c:pt>
                <c:pt idx="9">
                  <c:v>S174</c:v>
                </c:pt>
              </c:strCache>
            </c:strRef>
          </c:cat>
          <c:val>
            <c:numRef>
              <c:f>Sheet15!$B$4:$B$14</c:f>
              <c:numCache>
                <c:formatCode>General</c:formatCode>
                <c:ptCount val="10"/>
                <c:pt idx="0">
                  <c:v>97.9</c:v>
                </c:pt>
                <c:pt idx="1">
                  <c:v>99.4</c:v>
                </c:pt>
                <c:pt idx="2">
                  <c:v>97.5</c:v>
                </c:pt>
                <c:pt idx="3">
                  <c:v>97.7</c:v>
                </c:pt>
                <c:pt idx="4">
                  <c:v>100</c:v>
                </c:pt>
                <c:pt idx="5">
                  <c:v>98.2</c:v>
                </c:pt>
                <c:pt idx="6">
                  <c:v>97.9</c:v>
                </c:pt>
                <c:pt idx="7">
                  <c:v>99.2</c:v>
                </c:pt>
                <c:pt idx="8">
                  <c:v>98</c:v>
                </c:pt>
                <c:pt idx="9">
                  <c:v>98.3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34-4CF7-BC68-C591687EB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522271"/>
        <c:axId val="754521439"/>
      </c:barChart>
      <c:catAx>
        <c:axId val="75452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521439"/>
        <c:crosses val="autoZero"/>
        <c:auto val="1"/>
        <c:lblAlgn val="ctr"/>
        <c:lblOffset val="100"/>
        <c:noMultiLvlLbl val="0"/>
      </c:catAx>
      <c:valAx>
        <c:axId val="75452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52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Percentage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7136482939632549E-2"/>
          <c:y val="0.19486111111111112"/>
          <c:w val="0.90286351706036749"/>
          <c:h val="0.72088764946048411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'cleaned dataset'!$R$3</c:f>
              <c:strCache>
                <c:ptCount val="1"/>
                <c:pt idx="0">
                  <c:v>Attendance2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'cleaned dataset'!$Q$4:$Q$6</c:f>
              <c:strCache>
                <c:ptCount val="3"/>
                <c:pt idx="0">
                  <c:v>&gt; 90</c:v>
                </c:pt>
                <c:pt idx="1">
                  <c:v>&lt;70</c:v>
                </c:pt>
                <c:pt idx="2">
                  <c:v>&lt;60</c:v>
                </c:pt>
              </c:strCache>
            </c:strRef>
          </c:cat>
          <c:val>
            <c:numRef>
              <c:f>'cleaned dataset'!$R$4:$R$6</c:f>
              <c:numCache>
                <c:formatCode>General</c:formatCode>
                <c:ptCount val="3"/>
                <c:pt idx="0">
                  <c:v>34</c:v>
                </c:pt>
                <c:pt idx="1">
                  <c:v>78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9-459D-B2CD-FCD541BAE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06913887"/>
        <c:axId val="906911807"/>
        <c:axId val="0"/>
      </c:bar3DChart>
      <c:catAx>
        <c:axId val="90691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911807"/>
        <c:crosses val="autoZero"/>
        <c:auto val="1"/>
        <c:lblAlgn val="ctr"/>
        <c:lblOffset val="100"/>
        <c:noMultiLvlLbl val="0"/>
      </c:catAx>
      <c:valAx>
        <c:axId val="90691180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91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Exam</a:t>
            </a:r>
            <a:r>
              <a:rPr lang="en-US" baseline="0"/>
              <a:t> Score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'cleaned dataset'!$W$3</c:f>
              <c:strCache>
                <c:ptCount val="1"/>
                <c:pt idx="0">
                  <c:v>Exam Score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0B0-4170-A682-710A5BDF58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0B0-4170-A682-710A5BDF58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0B0-4170-A682-710A5BDF589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'cleaned dataset'!$V$4:$V$6</c:f>
              <c:strCache>
                <c:ptCount val="3"/>
                <c:pt idx="0">
                  <c:v>&lt; 20</c:v>
                </c:pt>
                <c:pt idx="1">
                  <c:v>&gt; 30</c:v>
                </c:pt>
                <c:pt idx="2">
                  <c:v>&gt; 40</c:v>
                </c:pt>
              </c:strCache>
            </c:strRef>
          </c:cat>
          <c:val>
            <c:numRef>
              <c:f>'cleaned dataset'!$W$4:$W$6</c:f>
              <c:numCache>
                <c:formatCode>General</c:formatCode>
                <c:ptCount val="3"/>
                <c:pt idx="0">
                  <c:v>4</c:v>
                </c:pt>
                <c:pt idx="1">
                  <c:v>56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B-4D78-9ECF-43017FFF337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244006999125105"/>
          <c:y val="0.46840186643336251"/>
          <c:w val="8.0514878168964507E-2"/>
          <c:h val="0.2343766404199475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Percentage </a:t>
            </a:r>
          </a:p>
        </c:rich>
      </c:tx>
      <c:layout>
        <c:manualLayout>
          <c:xMode val="edge"/>
          <c:yMode val="edge"/>
          <c:x val="0.20181933508311461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7136482939632549E-2"/>
          <c:y val="0.19486111111111112"/>
          <c:w val="0.90286351706036749"/>
          <c:h val="0.72088764946048411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'cleaned dataset'!$R$3</c:f>
              <c:strCache>
                <c:ptCount val="1"/>
                <c:pt idx="0">
                  <c:v>Attendance2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'cleaned dataset'!$Q$4:$Q$6</c:f>
              <c:strCache>
                <c:ptCount val="3"/>
                <c:pt idx="0">
                  <c:v>&gt; 90</c:v>
                </c:pt>
                <c:pt idx="1">
                  <c:v>&lt;70</c:v>
                </c:pt>
                <c:pt idx="2">
                  <c:v>&lt;60</c:v>
                </c:pt>
              </c:strCache>
            </c:strRef>
          </c:cat>
          <c:val>
            <c:numRef>
              <c:f>'cleaned dataset'!$R$4:$R$6</c:f>
              <c:numCache>
                <c:formatCode>General</c:formatCode>
                <c:ptCount val="3"/>
                <c:pt idx="0">
                  <c:v>34</c:v>
                </c:pt>
                <c:pt idx="1">
                  <c:v>78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B-4697-8D85-EC0D912AD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06913887"/>
        <c:axId val="906911807"/>
        <c:axId val="0"/>
      </c:bar3DChart>
      <c:catAx>
        <c:axId val="90691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911807"/>
        <c:crosses val="autoZero"/>
        <c:auto val="1"/>
        <c:lblAlgn val="ctr"/>
        <c:lblOffset val="100"/>
        <c:noMultiLvlLbl val="0"/>
      </c:catAx>
      <c:valAx>
        <c:axId val="90691180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91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Exam</a:t>
            </a:r>
            <a:r>
              <a:rPr lang="en-US" baseline="0"/>
              <a:t> Score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4166027305973941E-2"/>
          <c:y val="0.20210217908807912"/>
          <c:w val="0.84796532617330878"/>
          <c:h val="0.75474518810148727"/>
        </c:manualLayout>
      </c:layout>
      <c:pie3DChart>
        <c:varyColors val="1"/>
        <c:ser>
          <c:idx val="0"/>
          <c:order val="0"/>
          <c:tx>
            <c:strRef>
              <c:f>'cleaned dataset'!$W$3</c:f>
              <c:strCache>
                <c:ptCount val="1"/>
                <c:pt idx="0">
                  <c:v>Exam Score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1D8-4850-8B40-A7674B67EC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1D8-4850-8B40-A7674B67EC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1D8-4850-8B40-A7674B67ECA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'cleaned dataset'!$V$4:$V$6</c:f>
              <c:strCache>
                <c:ptCount val="3"/>
                <c:pt idx="0">
                  <c:v>&lt; 20</c:v>
                </c:pt>
                <c:pt idx="1">
                  <c:v>&gt; 30</c:v>
                </c:pt>
                <c:pt idx="2">
                  <c:v>&gt; 40</c:v>
                </c:pt>
              </c:strCache>
            </c:strRef>
          </c:cat>
          <c:val>
            <c:numRef>
              <c:f>'cleaned dataset'!$W$4:$W$6</c:f>
              <c:numCache>
                <c:formatCode>General</c:formatCode>
                <c:ptCount val="3"/>
                <c:pt idx="0">
                  <c:v>4</c:v>
                </c:pt>
                <c:pt idx="1">
                  <c:v>56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D8-4850-8B40-A7674B67ECA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26454124388317"/>
          <c:y val="0.61024582565477192"/>
          <c:w val="0.1098885808214141"/>
          <c:h val="0.2911143128385547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1.xlsx]Sheet13!PivotTable12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</a:t>
            </a:r>
            <a:r>
              <a:rPr lang="en-IN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10 SCORE</a:t>
            </a:r>
            <a:endParaRPr lang="en-IN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37927077865266834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Sheet13!$A$4:$A$24</c:f>
              <c:multiLvlStrCache>
                <c:ptCount val="10"/>
                <c:lvl>
                  <c:pt idx="0">
                    <c:v>Pass</c:v>
                  </c:pt>
                  <c:pt idx="1">
                    <c:v>Pass</c:v>
                  </c:pt>
                  <c:pt idx="2">
                    <c:v>Pass</c:v>
                  </c:pt>
                  <c:pt idx="3">
                    <c:v>Pass</c:v>
                  </c:pt>
                  <c:pt idx="4">
                    <c:v>Pass</c:v>
                  </c:pt>
                  <c:pt idx="5">
                    <c:v>Pass</c:v>
                  </c:pt>
                  <c:pt idx="6">
                    <c:v>Pass</c:v>
                  </c:pt>
                  <c:pt idx="7">
                    <c:v>Pass</c:v>
                  </c:pt>
                  <c:pt idx="8">
                    <c:v>Pass</c:v>
                  </c:pt>
                  <c:pt idx="9">
                    <c:v>Pass</c:v>
                  </c:pt>
                </c:lvl>
                <c:lvl>
                  <c:pt idx="0">
                    <c:v>S021</c:v>
                  </c:pt>
                  <c:pt idx="1">
                    <c:v>S054</c:v>
                  </c:pt>
                  <c:pt idx="2">
                    <c:v>S061</c:v>
                  </c:pt>
                  <c:pt idx="3">
                    <c:v>S072</c:v>
                  </c:pt>
                  <c:pt idx="4">
                    <c:v>S084</c:v>
                  </c:pt>
                  <c:pt idx="5">
                    <c:v>S087</c:v>
                  </c:pt>
                  <c:pt idx="6">
                    <c:v>S116</c:v>
                  </c:pt>
                  <c:pt idx="7">
                    <c:v>S121</c:v>
                  </c:pt>
                  <c:pt idx="8">
                    <c:v>S147</c:v>
                  </c:pt>
                  <c:pt idx="9">
                    <c:v>S194</c:v>
                  </c:pt>
                </c:lvl>
              </c:multiLvlStrCache>
            </c:multiLvlStrRef>
          </c:cat>
          <c:val>
            <c:numRef>
              <c:f>Sheet13!$B$4:$B$24</c:f>
              <c:numCache>
                <c:formatCode>General</c:formatCode>
                <c:ptCount val="10"/>
                <c:pt idx="0">
                  <c:v>46</c:v>
                </c:pt>
                <c:pt idx="1">
                  <c:v>46.4</c:v>
                </c:pt>
                <c:pt idx="2">
                  <c:v>48.6</c:v>
                </c:pt>
                <c:pt idx="3">
                  <c:v>47.9</c:v>
                </c:pt>
                <c:pt idx="4">
                  <c:v>48.9</c:v>
                </c:pt>
                <c:pt idx="5">
                  <c:v>51.3</c:v>
                </c:pt>
                <c:pt idx="6">
                  <c:v>46.4</c:v>
                </c:pt>
                <c:pt idx="7">
                  <c:v>47.9</c:v>
                </c:pt>
                <c:pt idx="8">
                  <c:v>45.8</c:v>
                </c:pt>
                <c:pt idx="9">
                  <c:v>46.7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8-4D91-9ABF-659FB1227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2320111"/>
        <c:axId val="832318031"/>
      </c:barChart>
      <c:catAx>
        <c:axId val="83232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18031"/>
        <c:crosses val="autoZero"/>
        <c:auto val="1"/>
        <c:lblAlgn val="ctr"/>
        <c:lblOffset val="100"/>
        <c:noMultiLvlLbl val="0"/>
      </c:catAx>
      <c:valAx>
        <c:axId val="83231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2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[Assignment 1.xlsx]Sheet15!PivotTable14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ATTENDANCE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Sheet15!$A$4:$A$14</c:f>
              <c:strCache>
                <c:ptCount val="10"/>
                <c:pt idx="0">
                  <c:v>S034</c:v>
                </c:pt>
                <c:pt idx="1">
                  <c:v>S042</c:v>
                </c:pt>
                <c:pt idx="2">
                  <c:v>S044</c:v>
                </c:pt>
                <c:pt idx="3">
                  <c:v>S086</c:v>
                </c:pt>
                <c:pt idx="4">
                  <c:v>S121</c:v>
                </c:pt>
                <c:pt idx="5">
                  <c:v>S142</c:v>
                </c:pt>
                <c:pt idx="6">
                  <c:v>S147</c:v>
                </c:pt>
                <c:pt idx="7">
                  <c:v>S158</c:v>
                </c:pt>
                <c:pt idx="8">
                  <c:v>S168</c:v>
                </c:pt>
                <c:pt idx="9">
                  <c:v>S174</c:v>
                </c:pt>
              </c:strCache>
            </c:strRef>
          </c:cat>
          <c:val>
            <c:numRef>
              <c:f>Sheet15!$B$4:$B$14</c:f>
              <c:numCache>
                <c:formatCode>General</c:formatCode>
                <c:ptCount val="10"/>
                <c:pt idx="0">
                  <c:v>97.9</c:v>
                </c:pt>
                <c:pt idx="1">
                  <c:v>99.4</c:v>
                </c:pt>
                <c:pt idx="2">
                  <c:v>97.5</c:v>
                </c:pt>
                <c:pt idx="3">
                  <c:v>97.7</c:v>
                </c:pt>
                <c:pt idx="4">
                  <c:v>100</c:v>
                </c:pt>
                <c:pt idx="5">
                  <c:v>98.2</c:v>
                </c:pt>
                <c:pt idx="6">
                  <c:v>97.9</c:v>
                </c:pt>
                <c:pt idx="7">
                  <c:v>99.2</c:v>
                </c:pt>
                <c:pt idx="8">
                  <c:v>98</c:v>
                </c:pt>
                <c:pt idx="9">
                  <c:v>98.3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E-4DBD-AAAC-A3A71359C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522271"/>
        <c:axId val="754521439"/>
      </c:barChart>
      <c:catAx>
        <c:axId val="75452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521439"/>
        <c:crosses val="autoZero"/>
        <c:auto val="1"/>
        <c:lblAlgn val="ctr"/>
        <c:lblOffset val="100"/>
        <c:noMultiLvlLbl val="0"/>
      </c:catAx>
      <c:valAx>
        <c:axId val="75452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52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195262</xdr:colOff>
      <xdr:row>4</xdr:row>
      <xdr:rowOff>161925</xdr:rowOff>
    </xdr:from>
    <xdr:to>
      <xdr:col>10</xdr:col>
      <xdr:colOff>500062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195261</xdr:colOff>
      <xdr:row>4</xdr:row>
      <xdr:rowOff>161925</xdr:rowOff>
    </xdr:from>
    <xdr:to>
      <xdr:col>12</xdr:col>
      <xdr:colOff>571499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352425</xdr:colOff>
      <xdr:row>7</xdr:row>
      <xdr:rowOff>152400</xdr:rowOff>
    </xdr:from>
    <xdr:to>
      <xdr:col>20</xdr:col>
      <xdr:colOff>466725</xdr:colOff>
      <xdr:row>22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209550</xdr:colOff>
      <xdr:row>7</xdr:row>
      <xdr:rowOff>152400</xdr:rowOff>
    </xdr:from>
    <xdr:to>
      <xdr:col>28</xdr:col>
      <xdr:colOff>514350</xdr:colOff>
      <xdr:row>22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</xdr:row>
      <xdr:rowOff>38100</xdr:rowOff>
    </xdr:from>
    <xdr:to>
      <xdr:col>7</xdr:col>
      <xdr:colOff>285749</xdr:colOff>
      <xdr:row>12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390523</xdr:colOff>
      <xdr:row>1</xdr:row>
      <xdr:rowOff>38100</xdr:rowOff>
    </xdr:from>
    <xdr:to>
      <xdr:col>14</xdr:col>
      <xdr:colOff>104774</xdr:colOff>
      <xdr:row>12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123824</xdr:colOff>
      <xdr:row>12</xdr:row>
      <xdr:rowOff>180975</xdr:rowOff>
    </xdr:from>
    <xdr:to>
      <xdr:col>7</xdr:col>
      <xdr:colOff>304799</xdr:colOff>
      <xdr:row>25</xdr:row>
      <xdr:rowOff>85725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419100</xdr:colOff>
      <xdr:row>12</xdr:row>
      <xdr:rowOff>171450</xdr:rowOff>
    </xdr:from>
    <xdr:to>
      <xdr:col>14</xdr:col>
      <xdr:colOff>85725</xdr:colOff>
      <xdr:row>25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5962.755991435188" backgroundQuery="1" createdVersion="6" refreshedVersion="6" minRefreshableVersion="3" recordCount="0" supportSubquery="1" supportAdvancedDrill="1">
  <cacheSource type="external" connectionId="1"/>
  <cacheFields count="3">
    <cacheField name="[Table4].[Student Id].[Student Id]" caption="Student Id" numFmtId="0" hierarchy="2" level="1">
      <sharedItems count="10">
        <s v="S021"/>
        <s v="S054"/>
        <s v="S061"/>
        <s v="S072"/>
        <s v="S084"/>
        <s v="S087"/>
        <s v="S116"/>
        <s v="S121"/>
        <s v="S147"/>
        <s v="S194"/>
      </sharedItems>
    </cacheField>
    <cacheField name="[Measures].[Sum of Exam Score]" caption="Sum of Exam Score" numFmtId="0" hierarchy="14" level="32767"/>
    <cacheField name="[Table4].[Result].[Result]" caption="Result" numFmtId="0" hierarchy="8" level="1">
      <sharedItems count="1">
        <s v="Pass"/>
      </sharedItems>
    </cacheField>
  </cacheFields>
  <cacheHierarchies count="15">
    <cacheHierarchy uniqueName="[Table2].[Range]" caption="Range" attribute="1" defaultMemberUniqueName="[Table2].[Range].[All]" allUniqueName="[Table2].[Range].[All]" dimensionUniqueName="[Table2]" displayFolder="" count="0" memberValueDatatype="130" unbalanced="0"/>
    <cacheHierarchy uniqueName="[Table2].[Attendance2]" caption="Attendance2" attribute="1" defaultMemberUniqueName="[Table2].[Attendance2].[All]" allUniqueName="[Table2].[Attendance2].[All]" dimensionUniqueName="[Table2]" displayFolder="" count="0" memberValueDatatype="20" unbalanced="0"/>
    <cacheHierarchy uniqueName="[Table4].[Student Id]" caption="Student Id" attribute="1" defaultMemberUniqueName="[Table4].[Student Id].[All]" allUniqueName="[Table4].[Student Id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Hours Studied]" caption="Hours Studied" attribute="1" defaultMemberUniqueName="[Table4].[Hours Studied].[All]" allUniqueName="[Table4].[Hours Studied].[All]" dimensionUniqueName="[Table4]" displayFolder="" count="0" memberValueDatatype="5" unbalanced="0"/>
    <cacheHierarchy uniqueName="[Table4].[Sleep Hours]" caption="Sleep Hours" attribute="1" defaultMemberUniqueName="[Table4].[Sleep Hours].[All]" allUniqueName="[Table4].[Sleep Hours].[All]" dimensionUniqueName="[Table4]" displayFolder="" count="0" memberValueDatatype="5" unbalanced="0"/>
    <cacheHierarchy uniqueName="[Table4].[Attendance  Percent]" caption="Attendance  Percent" attribute="1" defaultMemberUniqueName="[Table4].[Attendance  Percent].[All]" allUniqueName="[Table4].[Attendance  Percent].[All]" dimensionUniqueName="[Table4]" displayFolder="" count="0" memberValueDatatype="5" unbalanced="0"/>
    <cacheHierarchy uniqueName="[Table4].[Previous Scores]" caption="Previous Scores" attribute="1" defaultMemberUniqueName="[Table4].[Previous Scores].[All]" allUniqueName="[Table4].[Previous Scores].[All]" dimensionUniqueName="[Table4]" displayFolder="" count="0" memberValueDatatype="20" unbalanced="0"/>
    <cacheHierarchy uniqueName="[Table4].[Exam Score]" caption="Exam Score" attribute="1" defaultMemberUniqueName="[Table4].[Exam Score].[All]" allUniqueName="[Table4].[Exam Score].[All]" dimensionUniqueName="[Table4]" displayFolder="" count="0" memberValueDatatype="5" unbalanced="0"/>
    <cacheHierarchy uniqueName="[Table4].[Result]" caption="Result" attribute="1" defaultMemberUniqueName="[Table4].[Result].[All]" allUniqueName="[Table4].[Result].[All]" dimensionUniqueName="[Table4]" displayFolder="" count="2" memberValueDatatype="130" unbalanced="0">
      <fieldsUsage count="2">
        <fieldUsage x="-1"/>
        <fieldUsage x="2"/>
      </fieldsUsage>
    </cacheHierarchy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Attendance2]" caption="Sum of Attendance2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ttendance  Percent]" caption="Sum of Attendance  Percent" measure="1" displayFolder="" measureGroup="Table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xam Score]" caption="Sum of Exam Score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USER" refreshedDate="45962.768619444447" backgroundQuery="1" createdVersion="6" refreshedVersion="6" minRefreshableVersion="3" recordCount="0" supportSubquery="1" supportAdvancedDrill="1">
  <cacheSource type="external" connectionId="1"/>
  <cacheFields count="3">
    <cacheField name="[Table4].[Student Id].[Student Id]" caption="Student Id" numFmtId="0" hierarchy="2" level="1">
      <sharedItems count="10">
        <s v="S034"/>
        <s v="S042"/>
        <s v="S044"/>
        <s v="S086"/>
        <s v="S121"/>
        <s v="S142"/>
        <s v="S147"/>
        <s v="S158"/>
        <s v="S168"/>
        <s v="S174"/>
      </sharedItems>
    </cacheField>
    <cacheField name="[Table4].[Result].[Result]" caption="Result" numFmtId="0" hierarchy="8" level="1">
      <sharedItems count="1">
        <s v="Pass"/>
      </sharedItems>
    </cacheField>
    <cacheField name="[Measures].[Sum of Attendance  Percent]" caption="Sum of Attendance  Percent" numFmtId="0" hierarchy="13" level="32767"/>
  </cacheFields>
  <cacheHierarchies count="15">
    <cacheHierarchy uniqueName="[Table2].[Range]" caption="Range" attribute="1" defaultMemberUniqueName="[Table2].[Range].[All]" allUniqueName="[Table2].[Range].[All]" dimensionUniqueName="[Table2]" displayFolder="" count="0" memberValueDatatype="130" unbalanced="0"/>
    <cacheHierarchy uniqueName="[Table2].[Attendance2]" caption="Attendance2" attribute="1" defaultMemberUniqueName="[Table2].[Attendance2].[All]" allUniqueName="[Table2].[Attendance2].[All]" dimensionUniqueName="[Table2]" displayFolder="" count="0" memberValueDatatype="20" unbalanced="0"/>
    <cacheHierarchy uniqueName="[Table4].[Student Id]" caption="Student Id" attribute="1" defaultMemberUniqueName="[Table4].[Student Id].[All]" allUniqueName="[Table4].[Student Id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Hours Studied]" caption="Hours Studied" attribute="1" defaultMemberUniqueName="[Table4].[Hours Studied].[All]" allUniqueName="[Table4].[Hours Studied].[All]" dimensionUniqueName="[Table4]" displayFolder="" count="0" memberValueDatatype="5" unbalanced="0"/>
    <cacheHierarchy uniqueName="[Table4].[Sleep Hours]" caption="Sleep Hours" attribute="1" defaultMemberUniqueName="[Table4].[Sleep Hours].[All]" allUniqueName="[Table4].[Sleep Hours].[All]" dimensionUniqueName="[Table4]" displayFolder="" count="2" memberValueDatatype="5" unbalanced="0"/>
    <cacheHierarchy uniqueName="[Table4].[Attendance  Percent]" caption="Attendance  Percent" attribute="1" defaultMemberUniqueName="[Table4].[Attendance  Percent].[All]" allUniqueName="[Table4].[Attendance  Percent].[All]" dimensionUniqueName="[Table4]" displayFolder="" count="2" memberValueDatatype="5" unbalanced="0"/>
    <cacheHierarchy uniqueName="[Table4].[Previous Scores]" caption="Previous Scores" attribute="1" defaultMemberUniqueName="[Table4].[Previous Scores].[All]" allUniqueName="[Table4].[Previous Scores].[All]" dimensionUniqueName="[Table4]" displayFolder="" count="0" memberValueDatatype="20" unbalanced="0"/>
    <cacheHierarchy uniqueName="[Table4].[Exam Score]" caption="Exam Score" attribute="1" defaultMemberUniqueName="[Table4].[Exam Score].[All]" allUniqueName="[Table4].[Exam Score].[All]" dimensionUniqueName="[Table4]" displayFolder="" count="0" memberValueDatatype="5" unbalanced="0"/>
    <cacheHierarchy uniqueName="[Table4].[Result]" caption="Result" attribute="1" defaultMemberUniqueName="[Table4].[Result].[All]" allUniqueName="[Table4].[Result].[All]" dimensionUniqueName="[Table4]" displayFolder="" count="2" memberValueDatatype="130" unbalanced="0">
      <fieldsUsage count="2">
        <fieldUsage x="-1"/>
        <fieldUsage x="1"/>
      </fieldsUsage>
    </cacheHierarchy>
    <cacheHierarchy uniqueName="[Measures].[__XL_Count Table2]" caption="__XL_Count Table2" measure="1" displayFolder="" measureGroup="Table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Attendance2]" caption="Sum of Attendance2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ttendance  Percent]" caption="Sum of Attendance  Percent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xam Score]" caption="Sum of Exam Score" measure="1" displayFolder="" measureGroup="Table4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2" cacheId="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11">
  <location ref="A3:B24" firstHeaderRow="1" firstDataRow="1" firstDataCol="1"/>
  <pivotFields count="3">
    <pivotField axis="axisRow"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axis="axisRow" allDrilled="1" showAll="0" dataSourceSort="1" defaultAttributeDrillState="1">
      <items count="2">
        <item x="0"/>
        <item t="default"/>
      </items>
    </pivotField>
  </pivotFields>
  <rowFields count="2">
    <field x="0"/>
    <field x="2"/>
  </rowFields>
  <rowItems count="21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/>
    </i>
    <i>
      <x v="9"/>
    </i>
    <i r="1">
      <x/>
    </i>
    <i t="grand">
      <x/>
    </i>
  </rowItems>
  <colItems count="1">
    <i/>
  </colItems>
  <dataFields count="1">
    <dataField name="Sum of Exam Score" fld="1" baseField="0" baseItem="0"/>
  </dataFields>
  <chartFormats count="2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14">
      <autoFilter ref="A1">
        <filterColumn colId="0">
          <top10 val="10" filterVal="10"/>
        </filterColumn>
      </autoFilter>
    </filter>
  </filters>
  <rowHierarchiesUsage count="2">
    <rowHierarchyUsage hierarchyUsage="2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set.xlsx!Table4">
        <x15:activeTabTopLevelEntity name="[Table4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14" cacheId="4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7">
  <location ref="A3:B14" firstHeaderRow="1" firstDataRow="1" firstDataCol="1"/>
  <pivotFields count="3">
    <pivotField axis="axisRow"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llDrilled="1" showAll="0" measureFilter="1" dataSourceSort="1" defaultAttributeDrillState="1">
      <items count="2">
        <item x="0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ttendance  Percent" fld="2" baseField="0" baseItem="0"/>
  </dataFields>
  <chartFormats count="3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6" iMeasureHier="13">
      <autoFilter ref="A1">
        <filterColumn colId="0">
          <top10 val="10" filterVal="10"/>
        </filterColumn>
      </autoFilter>
    </filter>
    <filter fld="1" type="valueLessThan" evalOrder="1" id="4" iMeasureHier="14">
      <autoFilter ref="A1">
        <filterColumn colId="0">
          <customFilters>
            <customFilter operator="lessThan" val="25"/>
          </customFilters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set.xlsx!Table4">
        <x15:activeTabTopLevelEntity name="[Table4]"/>
      </x15:pivotTableUISettings>
    </ext>
  </extLst>
</pivotTableDefinition>
</file>

<file path=xl/tables/table1.xml><?xml version="1.0" encoding="utf-8"?>
<table xmlns="http://schemas.openxmlformats.org/spreadsheetml/2006/main" id="2" name="Table2" displayName="Table2" ref="Q3:R6" totalsRowShown="0">
  <autoFilter ref="Q3:R6"/>
  <tableColumns count="2">
    <tableColumn id="1" name="Range"/>
    <tableColumn id="2" name="Attendance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V3:W6" totalsRowShown="0">
  <autoFilter ref="V3:W6"/>
  <tableColumns count="2">
    <tableColumn id="1" name="Range"/>
    <tableColumn id="2" name="Exam Score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G201" totalsRowShown="0" headerRowDxfId="1" dataDxfId="0" tableBorderDxfId="9">
  <autoFilter ref="A1:G201"/>
  <tableColumns count="7">
    <tableColumn id="1" name="Student Id" dataDxfId="8"/>
    <tableColumn id="2" name="Hours Studied" dataDxfId="7"/>
    <tableColumn id="3" name="Sleep Hours" dataDxfId="6"/>
    <tableColumn id="4" name="Attendance  Percent" dataDxfId="5"/>
    <tableColumn id="5" name="Previous Scores" dataDxfId="4"/>
    <tableColumn id="6" name="Exam Score" dataDxfId="3"/>
    <tableColumn id="7" name="Result" dataDxfId="2">
      <calculatedColumnFormula>IF(E1&gt;=30,"Pass","Fail")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K2" sqref="K2"/>
    </sheetView>
  </sheetViews>
  <sheetFormatPr defaultRowHeight="15" x14ac:dyDescent="0.25"/>
  <cols>
    <col min="1" max="1" width="13.140625" bestFit="1" customWidth="1"/>
    <col min="2" max="2" width="17.85546875" bestFit="1" customWidth="1"/>
  </cols>
  <sheetData>
    <row r="3" spans="1:2" x14ac:dyDescent="0.25">
      <c r="A3" s="7" t="s">
        <v>219</v>
      </c>
      <c r="B3" t="s">
        <v>229</v>
      </c>
    </row>
    <row r="4" spans="1:2" x14ac:dyDescent="0.25">
      <c r="A4" s="8" t="s">
        <v>20</v>
      </c>
      <c r="B4" s="11">
        <v>46</v>
      </c>
    </row>
    <row r="5" spans="1:2" x14ac:dyDescent="0.25">
      <c r="A5" s="10" t="s">
        <v>220</v>
      </c>
      <c r="B5" s="11">
        <v>46</v>
      </c>
    </row>
    <row r="6" spans="1:2" x14ac:dyDescent="0.25">
      <c r="A6" s="8" t="s">
        <v>53</v>
      </c>
      <c r="B6" s="11">
        <v>46.4</v>
      </c>
    </row>
    <row r="7" spans="1:2" x14ac:dyDescent="0.25">
      <c r="A7" s="10" t="s">
        <v>220</v>
      </c>
      <c r="B7" s="11">
        <v>46.4</v>
      </c>
    </row>
    <row r="8" spans="1:2" x14ac:dyDescent="0.25">
      <c r="A8" s="8" t="s">
        <v>60</v>
      </c>
      <c r="B8" s="11">
        <v>48.6</v>
      </c>
    </row>
    <row r="9" spans="1:2" x14ac:dyDescent="0.25">
      <c r="A9" s="10" t="s">
        <v>220</v>
      </c>
      <c r="B9" s="11">
        <v>48.6</v>
      </c>
    </row>
    <row r="10" spans="1:2" x14ac:dyDescent="0.25">
      <c r="A10" s="8" t="s">
        <v>71</v>
      </c>
      <c r="B10" s="11">
        <v>47.9</v>
      </c>
    </row>
    <row r="11" spans="1:2" x14ac:dyDescent="0.25">
      <c r="A11" s="10" t="s">
        <v>220</v>
      </c>
      <c r="B11" s="11">
        <v>47.9</v>
      </c>
    </row>
    <row r="12" spans="1:2" x14ac:dyDescent="0.25">
      <c r="A12" s="8" t="s">
        <v>83</v>
      </c>
      <c r="B12" s="11">
        <v>48.9</v>
      </c>
    </row>
    <row r="13" spans="1:2" x14ac:dyDescent="0.25">
      <c r="A13" s="10" t="s">
        <v>220</v>
      </c>
      <c r="B13" s="11">
        <v>48.9</v>
      </c>
    </row>
    <row r="14" spans="1:2" x14ac:dyDescent="0.25">
      <c r="A14" s="8" t="s">
        <v>86</v>
      </c>
      <c r="B14" s="11">
        <v>51.3</v>
      </c>
    </row>
    <row r="15" spans="1:2" x14ac:dyDescent="0.25">
      <c r="A15" s="10" t="s">
        <v>220</v>
      </c>
      <c r="B15" s="11">
        <v>51.3</v>
      </c>
    </row>
    <row r="16" spans="1:2" x14ac:dyDescent="0.25">
      <c r="A16" s="8" t="s">
        <v>115</v>
      </c>
      <c r="B16" s="11">
        <v>46.4</v>
      </c>
    </row>
    <row r="17" spans="1:2" x14ac:dyDescent="0.25">
      <c r="A17" s="10" t="s">
        <v>220</v>
      </c>
      <c r="B17" s="11">
        <v>46.4</v>
      </c>
    </row>
    <row r="18" spans="1:2" x14ac:dyDescent="0.25">
      <c r="A18" s="8" t="s">
        <v>120</v>
      </c>
      <c r="B18" s="11">
        <v>47.9</v>
      </c>
    </row>
    <row r="19" spans="1:2" x14ac:dyDescent="0.25">
      <c r="A19" s="10" t="s">
        <v>220</v>
      </c>
      <c r="B19" s="11">
        <v>47.9</v>
      </c>
    </row>
    <row r="20" spans="1:2" x14ac:dyDescent="0.25">
      <c r="A20" s="8" t="s">
        <v>146</v>
      </c>
      <c r="B20" s="11">
        <v>45.8</v>
      </c>
    </row>
    <row r="21" spans="1:2" x14ac:dyDescent="0.25">
      <c r="A21" s="10" t="s">
        <v>220</v>
      </c>
      <c r="B21" s="11">
        <v>45.8</v>
      </c>
    </row>
    <row r="22" spans="1:2" x14ac:dyDescent="0.25">
      <c r="A22" s="8" t="s">
        <v>193</v>
      </c>
      <c r="B22" s="11">
        <v>46.7</v>
      </c>
    </row>
    <row r="23" spans="1:2" x14ac:dyDescent="0.25">
      <c r="A23" s="10" t="s">
        <v>220</v>
      </c>
      <c r="B23" s="11">
        <v>46.7</v>
      </c>
    </row>
    <row r="24" spans="1:2" x14ac:dyDescent="0.25">
      <c r="A24" s="8" t="s">
        <v>221</v>
      </c>
      <c r="B24" s="11">
        <v>475.9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topLeftCell="A3" workbookViewId="0">
      <selection activeCell="O19" sqref="O19"/>
    </sheetView>
  </sheetViews>
  <sheetFormatPr defaultRowHeight="15" x14ac:dyDescent="0.25"/>
  <cols>
    <col min="1" max="1" width="13.140625" customWidth="1"/>
    <col min="2" max="2" width="26.140625" customWidth="1"/>
    <col min="3" max="4" width="5" customWidth="1"/>
    <col min="5" max="5" width="6" customWidth="1"/>
    <col min="6" max="7" width="4" customWidth="1"/>
    <col min="8" max="10" width="5" customWidth="1"/>
    <col min="11" max="11" width="11.28515625" bestFit="1" customWidth="1"/>
  </cols>
  <sheetData>
    <row r="3" spans="1:2" x14ac:dyDescent="0.25">
      <c r="A3" s="7" t="s">
        <v>219</v>
      </c>
      <c r="B3" t="s">
        <v>232</v>
      </c>
    </row>
    <row r="4" spans="1:2" x14ac:dyDescent="0.25">
      <c r="A4" s="8" t="s">
        <v>33</v>
      </c>
      <c r="B4" s="11">
        <v>97.9</v>
      </c>
    </row>
    <row r="5" spans="1:2" x14ac:dyDescent="0.25">
      <c r="A5" s="8" t="s">
        <v>41</v>
      </c>
      <c r="B5" s="11">
        <v>99.4</v>
      </c>
    </row>
    <row r="6" spans="1:2" x14ac:dyDescent="0.25">
      <c r="A6" s="8" t="s">
        <v>43</v>
      </c>
      <c r="B6" s="11">
        <v>97.5</v>
      </c>
    </row>
    <row r="7" spans="1:2" x14ac:dyDescent="0.25">
      <c r="A7" s="8" t="s">
        <v>85</v>
      </c>
      <c r="B7" s="11">
        <v>97.7</v>
      </c>
    </row>
    <row r="8" spans="1:2" x14ac:dyDescent="0.25">
      <c r="A8" s="8" t="s">
        <v>120</v>
      </c>
      <c r="B8" s="11">
        <v>100</v>
      </c>
    </row>
    <row r="9" spans="1:2" x14ac:dyDescent="0.25">
      <c r="A9" s="8" t="s">
        <v>141</v>
      </c>
      <c r="B9" s="11">
        <v>98.2</v>
      </c>
    </row>
    <row r="10" spans="1:2" x14ac:dyDescent="0.25">
      <c r="A10" s="8" t="s">
        <v>146</v>
      </c>
      <c r="B10" s="11">
        <v>97.9</v>
      </c>
    </row>
    <row r="11" spans="1:2" x14ac:dyDescent="0.25">
      <c r="A11" s="8" t="s">
        <v>157</v>
      </c>
      <c r="B11" s="11">
        <v>99.2</v>
      </c>
    </row>
    <row r="12" spans="1:2" x14ac:dyDescent="0.25">
      <c r="A12" s="8" t="s">
        <v>167</v>
      </c>
      <c r="B12" s="11">
        <v>98</v>
      </c>
    </row>
    <row r="13" spans="1:2" x14ac:dyDescent="0.25">
      <c r="A13" s="8" t="s">
        <v>173</v>
      </c>
      <c r="B13" s="11">
        <v>98.3</v>
      </c>
    </row>
    <row r="14" spans="1:2" x14ac:dyDescent="0.25">
      <c r="A14" s="8" t="s">
        <v>221</v>
      </c>
      <c r="B14" s="11">
        <v>984.1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2"/>
  <sheetViews>
    <sheetView tabSelected="1" workbookViewId="0">
      <selection activeCell="R5" sqref="R5"/>
    </sheetView>
  </sheetViews>
  <sheetFormatPr defaultRowHeight="15" x14ac:dyDescent="0.25"/>
  <cols>
    <col min="1" max="1" width="12.85546875" bestFit="1" customWidth="1"/>
    <col min="2" max="2" width="16.140625" bestFit="1" customWidth="1"/>
    <col min="3" max="3" width="14.140625" bestFit="1" customWidth="1"/>
    <col min="4" max="4" width="21.42578125" bestFit="1" customWidth="1"/>
    <col min="5" max="5" width="17.7109375" bestFit="1" customWidth="1"/>
    <col min="6" max="6" width="13.85546875" bestFit="1" customWidth="1"/>
    <col min="7" max="7" width="13.85546875" customWidth="1"/>
    <col min="8" max="8" width="13.85546875" style="14" customWidth="1"/>
    <col min="9" max="11" width="11" customWidth="1"/>
    <col min="12" max="12" width="12" customWidth="1"/>
    <col min="13" max="13" width="13.42578125" customWidth="1"/>
    <col min="14" max="14" width="12" customWidth="1"/>
    <col min="22" max="22" width="13.140625" customWidth="1"/>
    <col min="23" max="23" width="11.140625" customWidth="1"/>
  </cols>
  <sheetData>
    <row r="1" spans="1:26" ht="15.75" thickBot="1" x14ac:dyDescent="0.3">
      <c r="A1" s="16" t="s">
        <v>200</v>
      </c>
      <c r="B1" s="17" t="s">
        <v>201</v>
      </c>
      <c r="C1" s="17" t="s">
        <v>202</v>
      </c>
      <c r="D1" s="17" t="s">
        <v>203</v>
      </c>
      <c r="E1" s="17" t="s">
        <v>204</v>
      </c>
      <c r="F1" s="17" t="s">
        <v>205</v>
      </c>
      <c r="G1" s="18" t="s">
        <v>230</v>
      </c>
      <c r="H1" s="12"/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216</v>
      </c>
      <c r="O1" s="2" t="s">
        <v>217</v>
      </c>
    </row>
    <row r="2" spans="1:26" x14ac:dyDescent="0.25">
      <c r="A2" s="19" t="s">
        <v>0</v>
      </c>
      <c r="B2" s="20">
        <v>8</v>
      </c>
      <c r="C2" s="20">
        <v>8.8000000000000007</v>
      </c>
      <c r="D2" s="20">
        <v>72.099999999999994</v>
      </c>
      <c r="E2" s="20">
        <v>45</v>
      </c>
      <c r="F2" s="20">
        <v>30.2</v>
      </c>
      <c r="G2" s="15" t="str">
        <f t="shared" ref="G2:G33" si="0">IF(E1&gt;=30,"Pass","Fail")</f>
        <v>Pass</v>
      </c>
      <c r="H2" s="13"/>
      <c r="I2" t="s">
        <v>214</v>
      </c>
      <c r="J2" t="s">
        <v>215</v>
      </c>
      <c r="K2" t="s">
        <v>211</v>
      </c>
      <c r="L2" t="s">
        <v>212</v>
      </c>
      <c r="M2" t="s">
        <v>213</v>
      </c>
      <c r="N2" t="s">
        <v>218</v>
      </c>
      <c r="Z2" s="3"/>
    </row>
    <row r="3" spans="1:26" x14ac:dyDescent="0.25">
      <c r="A3" s="21" t="s">
        <v>1</v>
      </c>
      <c r="B3" s="22">
        <v>1.3</v>
      </c>
      <c r="C3" s="22">
        <v>8.6</v>
      </c>
      <c r="D3" s="22">
        <v>60.7</v>
      </c>
      <c r="E3" s="22">
        <v>55</v>
      </c>
      <c r="F3" s="22">
        <v>25</v>
      </c>
      <c r="G3" s="15" t="str">
        <f t="shared" si="0"/>
        <v>Pass</v>
      </c>
      <c r="H3" s="13"/>
      <c r="I3" t="str">
        <f t="shared" ref="I3:I34" si="1">IF(F2&gt;=30,"Pass","Fail")</f>
        <v>Pass</v>
      </c>
      <c r="J3">
        <f>INDEX(C:C,MATCH(A2,A:A,0))</f>
        <v>8.8000000000000007</v>
      </c>
      <c r="K3">
        <f>AVERAGE(D2:D201)</f>
        <v>74.829999999999984</v>
      </c>
      <c r="L3">
        <f>MIN(D2:D201)</f>
        <v>50.3</v>
      </c>
      <c r="M3">
        <f>MAX(D2:D201)</f>
        <v>100</v>
      </c>
      <c r="N3" t="s">
        <v>77</v>
      </c>
      <c r="O3">
        <f>VLOOKUP(N3,$A$3:$M$202,6,FALSE)</f>
        <v>40.299999999999997</v>
      </c>
      <c r="Q3" t="s">
        <v>231</v>
      </c>
      <c r="R3" t="s">
        <v>225</v>
      </c>
      <c r="V3" t="s">
        <v>231</v>
      </c>
      <c r="W3" t="s">
        <v>205</v>
      </c>
      <c r="Z3" s="4"/>
    </row>
    <row r="4" spans="1:26" x14ac:dyDescent="0.25">
      <c r="A4" s="19" t="s">
        <v>2</v>
      </c>
      <c r="B4" s="20">
        <v>4</v>
      </c>
      <c r="C4" s="20">
        <v>8.1999999999999993</v>
      </c>
      <c r="D4" s="20">
        <v>73.7</v>
      </c>
      <c r="E4" s="20">
        <v>86</v>
      </c>
      <c r="F4" s="20">
        <v>35.799999999999997</v>
      </c>
      <c r="G4" s="15" t="str">
        <f t="shared" si="0"/>
        <v>Pass</v>
      </c>
      <c r="H4" s="13"/>
      <c r="I4" t="str">
        <f t="shared" si="1"/>
        <v>Fail</v>
      </c>
      <c r="J4">
        <f>INDEX(C:C,MATCH(A3,A:A,0))</f>
        <v>8.6</v>
      </c>
      <c r="N4" t="s">
        <v>164</v>
      </c>
      <c r="O4">
        <f>VLOOKUP(N4,A3:M202,4,FALSE)</f>
        <v>92.5</v>
      </c>
      <c r="Q4" t="s">
        <v>222</v>
      </c>
      <c r="R4">
        <f>COUNTIF(D2:D200,"&gt;=90")</f>
        <v>34</v>
      </c>
      <c r="V4" t="s">
        <v>226</v>
      </c>
      <c r="W4">
        <f>COUNTIF(F2:F200,"&lt;20")</f>
        <v>4</v>
      </c>
      <c r="Z4" s="5"/>
    </row>
    <row r="5" spans="1:26" x14ac:dyDescent="0.25">
      <c r="A5" s="21" t="s">
        <v>3</v>
      </c>
      <c r="B5" s="22">
        <v>3.5</v>
      </c>
      <c r="C5" s="22">
        <v>4.8</v>
      </c>
      <c r="D5" s="22">
        <v>95.1</v>
      </c>
      <c r="E5" s="22">
        <v>66</v>
      </c>
      <c r="F5" s="22">
        <v>34</v>
      </c>
      <c r="G5" s="15" t="str">
        <f t="shared" si="0"/>
        <v>Pass</v>
      </c>
      <c r="H5" s="13"/>
      <c r="I5" t="str">
        <f t="shared" si="1"/>
        <v>Pass</v>
      </c>
      <c r="J5">
        <f>INDEX(C:C,MATCH(A4,A:A,0))</f>
        <v>8.1999999999999993</v>
      </c>
      <c r="N5" t="s">
        <v>178</v>
      </c>
      <c r="O5">
        <f>VLOOKUP('cleaned dataset'!$N5,A3:O202,6,FALSE)</f>
        <v>35</v>
      </c>
      <c r="Q5" t="s">
        <v>223</v>
      </c>
      <c r="R5">
        <f>COUNTIF(D2:D200,"&lt;70")</f>
        <v>78</v>
      </c>
      <c r="V5" t="s">
        <v>227</v>
      </c>
      <c r="W5">
        <f>COUNTIF(F2:F200,"&lt;30")</f>
        <v>56</v>
      </c>
      <c r="Z5" s="4"/>
    </row>
    <row r="6" spans="1:26" x14ac:dyDescent="0.25">
      <c r="A6" s="19" t="s">
        <v>4</v>
      </c>
      <c r="B6" s="20">
        <v>9.1</v>
      </c>
      <c r="C6" s="20">
        <v>6.4</v>
      </c>
      <c r="D6" s="20">
        <v>89.8</v>
      </c>
      <c r="E6" s="20">
        <v>71</v>
      </c>
      <c r="F6" s="20">
        <v>40.299999999999997</v>
      </c>
      <c r="G6" s="15" t="str">
        <f t="shared" si="0"/>
        <v>Pass</v>
      </c>
      <c r="H6" s="13"/>
      <c r="I6" t="str">
        <f t="shared" si="1"/>
        <v>Pass</v>
      </c>
      <c r="J6">
        <f>INDEX(C:C,MATCH(A5,A:A,0))</f>
        <v>4.8</v>
      </c>
      <c r="Q6" t="s">
        <v>224</v>
      </c>
      <c r="R6">
        <f>COUNTIF(D2:D200,"&lt;60")</f>
        <v>37</v>
      </c>
      <c r="V6" t="s">
        <v>228</v>
      </c>
      <c r="W6">
        <f>COUNTIF(F2:F200,"&gt;40")</f>
        <v>38</v>
      </c>
      <c r="Z6" s="5"/>
    </row>
    <row r="7" spans="1:26" x14ac:dyDescent="0.25">
      <c r="A7" s="21" t="s">
        <v>5</v>
      </c>
      <c r="B7" s="22">
        <v>8.4</v>
      </c>
      <c r="C7" s="22">
        <v>5.0999999999999996</v>
      </c>
      <c r="D7" s="22">
        <v>58.5</v>
      </c>
      <c r="E7" s="22">
        <v>75</v>
      </c>
      <c r="F7" s="22">
        <v>35.700000000000003</v>
      </c>
      <c r="G7" s="15" t="str">
        <f t="shared" si="0"/>
        <v>Pass</v>
      </c>
      <c r="H7" s="13"/>
      <c r="I7" t="str">
        <f t="shared" si="1"/>
        <v>Pass</v>
      </c>
      <c r="J7">
        <f>INDEX(C:C,MATCH(A6,A:A,0))</f>
        <v>6.4</v>
      </c>
      <c r="Z7" s="4"/>
    </row>
    <row r="8" spans="1:26" x14ac:dyDescent="0.25">
      <c r="A8" s="19" t="s">
        <v>6</v>
      </c>
      <c r="B8" s="20">
        <v>10.8</v>
      </c>
      <c r="C8" s="20">
        <v>6</v>
      </c>
      <c r="D8" s="20">
        <v>54.2</v>
      </c>
      <c r="E8" s="20">
        <v>88</v>
      </c>
      <c r="F8" s="20">
        <v>37.9</v>
      </c>
      <c r="G8" s="15" t="str">
        <f t="shared" si="0"/>
        <v>Pass</v>
      </c>
      <c r="H8" s="13"/>
      <c r="I8" t="str">
        <f t="shared" si="1"/>
        <v>Pass</v>
      </c>
      <c r="J8">
        <f>INDEX(C:C,MATCH(A7,A:A,0))</f>
        <v>5.0999999999999996</v>
      </c>
      <c r="Z8" s="5"/>
    </row>
    <row r="9" spans="1:26" x14ac:dyDescent="0.25">
      <c r="A9" s="21" t="s">
        <v>7</v>
      </c>
      <c r="B9" s="22">
        <v>2</v>
      </c>
      <c r="C9" s="22">
        <v>4.3</v>
      </c>
      <c r="D9" s="22">
        <v>75.8</v>
      </c>
      <c r="E9" s="22">
        <v>55</v>
      </c>
      <c r="F9" s="22">
        <v>18.3</v>
      </c>
      <c r="G9" s="15" t="str">
        <f t="shared" si="0"/>
        <v>Pass</v>
      </c>
      <c r="H9" s="13"/>
      <c r="I9" t="str">
        <f t="shared" si="1"/>
        <v>Pass</v>
      </c>
      <c r="J9">
        <f>INDEX(C:C,MATCH(A8,A:A,0))</f>
        <v>6</v>
      </c>
      <c r="Z9" s="4"/>
    </row>
    <row r="10" spans="1:26" x14ac:dyDescent="0.25">
      <c r="A10" s="19" t="s">
        <v>8</v>
      </c>
      <c r="B10" s="20">
        <v>5.6</v>
      </c>
      <c r="C10" s="20">
        <v>5.9</v>
      </c>
      <c r="D10" s="20">
        <v>81.599999999999994</v>
      </c>
      <c r="E10" s="20">
        <v>84</v>
      </c>
      <c r="F10" s="20">
        <v>34.700000000000003</v>
      </c>
      <c r="G10" s="15" t="str">
        <f t="shared" si="0"/>
        <v>Pass</v>
      </c>
      <c r="H10" s="13"/>
      <c r="I10" t="str">
        <f t="shared" si="1"/>
        <v>Fail</v>
      </c>
      <c r="J10">
        <f>INDEX(C:C,MATCH(A9,A:A,0))</f>
        <v>4.3</v>
      </c>
      <c r="Z10" s="5"/>
    </row>
    <row r="11" spans="1:26" x14ac:dyDescent="0.25">
      <c r="A11" s="21" t="s">
        <v>9</v>
      </c>
      <c r="B11" s="22">
        <v>1.3</v>
      </c>
      <c r="C11" s="22">
        <v>8.9</v>
      </c>
      <c r="D11" s="22">
        <v>66.8</v>
      </c>
      <c r="E11" s="22">
        <v>70</v>
      </c>
      <c r="F11" s="22">
        <v>24.7</v>
      </c>
      <c r="G11" s="15" t="str">
        <f t="shared" si="0"/>
        <v>Pass</v>
      </c>
      <c r="H11" s="13"/>
      <c r="I11" t="str">
        <f t="shared" si="1"/>
        <v>Pass</v>
      </c>
      <c r="J11">
        <f>INDEX(C:C,MATCH(A10,A:A,0))</f>
        <v>5.9</v>
      </c>
      <c r="Z11" s="4"/>
    </row>
    <row r="12" spans="1:26" x14ac:dyDescent="0.25">
      <c r="A12" s="19" t="s">
        <v>10</v>
      </c>
      <c r="B12" s="20">
        <v>3.4</v>
      </c>
      <c r="C12" s="20">
        <v>5.3</v>
      </c>
      <c r="D12" s="20">
        <v>90.9</v>
      </c>
      <c r="E12" s="20">
        <v>81</v>
      </c>
      <c r="F12" s="20">
        <v>29.3</v>
      </c>
      <c r="G12" s="15" t="str">
        <f t="shared" si="0"/>
        <v>Pass</v>
      </c>
      <c r="H12" s="13"/>
      <c r="I12" t="str">
        <f t="shared" si="1"/>
        <v>Fail</v>
      </c>
      <c r="J12">
        <f>INDEX(C:C,MATCH(A11,A:A,0))</f>
        <v>8.9</v>
      </c>
      <c r="Z12" s="5"/>
    </row>
    <row r="13" spans="1:26" x14ac:dyDescent="0.25">
      <c r="A13" s="21" t="s">
        <v>11</v>
      </c>
      <c r="B13" s="22">
        <v>6.6</v>
      </c>
      <c r="C13" s="22">
        <v>7.9</v>
      </c>
      <c r="D13" s="22">
        <v>87.6</v>
      </c>
      <c r="E13" s="22">
        <v>85</v>
      </c>
      <c r="F13" s="22">
        <v>35.1</v>
      </c>
      <c r="G13" s="15" t="str">
        <f t="shared" si="0"/>
        <v>Pass</v>
      </c>
      <c r="H13" s="13"/>
      <c r="I13" t="str">
        <f t="shared" si="1"/>
        <v>Fail</v>
      </c>
      <c r="J13">
        <f>INDEX(C:C,MATCH(A12,A:A,0))</f>
        <v>5.3</v>
      </c>
      <c r="Z13" s="4"/>
    </row>
    <row r="14" spans="1:26" x14ac:dyDescent="0.25">
      <c r="A14" s="19" t="s">
        <v>12</v>
      </c>
      <c r="B14" s="20">
        <v>1.3</v>
      </c>
      <c r="C14" s="20">
        <v>6.3</v>
      </c>
      <c r="D14" s="20">
        <v>83.6</v>
      </c>
      <c r="E14" s="20">
        <v>71</v>
      </c>
      <c r="F14" s="20">
        <v>31.2</v>
      </c>
      <c r="G14" s="15" t="str">
        <f t="shared" si="0"/>
        <v>Pass</v>
      </c>
      <c r="H14" s="13"/>
      <c r="I14" t="str">
        <f t="shared" si="1"/>
        <v>Pass</v>
      </c>
      <c r="J14">
        <f>INDEX(C:C,MATCH(A13,A:A,0))</f>
        <v>7.9</v>
      </c>
      <c r="Z14" s="5"/>
    </row>
    <row r="15" spans="1:26" x14ac:dyDescent="0.25">
      <c r="A15" s="21" t="s">
        <v>13</v>
      </c>
      <c r="B15" s="22">
        <v>3.2</v>
      </c>
      <c r="C15" s="22">
        <v>6.1</v>
      </c>
      <c r="D15" s="22">
        <v>61.2</v>
      </c>
      <c r="E15" s="22">
        <v>68</v>
      </c>
      <c r="F15" s="22">
        <v>30.2</v>
      </c>
      <c r="G15" s="15" t="str">
        <f t="shared" si="0"/>
        <v>Pass</v>
      </c>
      <c r="H15" s="13"/>
      <c r="I15" t="str">
        <f t="shared" si="1"/>
        <v>Pass</v>
      </c>
      <c r="J15">
        <f>INDEX(C:C,MATCH(A14,A:A,0))</f>
        <v>6.3</v>
      </c>
      <c r="Z15" s="4"/>
    </row>
    <row r="16" spans="1:26" x14ac:dyDescent="0.25">
      <c r="A16" s="19" t="s">
        <v>14</v>
      </c>
      <c r="B16" s="20">
        <v>8.1</v>
      </c>
      <c r="C16" s="20">
        <v>8.8000000000000007</v>
      </c>
      <c r="D16" s="20">
        <v>60</v>
      </c>
      <c r="E16" s="20">
        <v>90</v>
      </c>
      <c r="F16" s="20">
        <v>41.1</v>
      </c>
      <c r="G16" s="15" t="str">
        <f t="shared" si="0"/>
        <v>Pass</v>
      </c>
      <c r="H16" s="13"/>
      <c r="I16" t="str">
        <f t="shared" si="1"/>
        <v>Pass</v>
      </c>
      <c r="J16">
        <f>INDEX(C:C,MATCH(A15,A:A,0))</f>
        <v>6.1</v>
      </c>
      <c r="Z16" s="5"/>
    </row>
    <row r="17" spans="1:26" x14ac:dyDescent="0.25">
      <c r="A17" s="21" t="s">
        <v>15</v>
      </c>
      <c r="B17" s="22">
        <v>7</v>
      </c>
      <c r="C17" s="22">
        <v>9</v>
      </c>
      <c r="D17" s="22">
        <v>51.2</v>
      </c>
      <c r="E17" s="22">
        <v>41</v>
      </c>
      <c r="F17" s="22">
        <v>34.1</v>
      </c>
      <c r="G17" s="15" t="str">
        <f t="shared" si="0"/>
        <v>Pass</v>
      </c>
      <c r="H17" s="13"/>
      <c r="I17" t="str">
        <f t="shared" si="1"/>
        <v>Pass</v>
      </c>
      <c r="J17">
        <f>INDEX(C:C,MATCH(A16,A:A,0))</f>
        <v>8.8000000000000007</v>
      </c>
      <c r="Z17" s="4"/>
    </row>
    <row r="18" spans="1:26" x14ac:dyDescent="0.25">
      <c r="A18" s="19" t="s">
        <v>16</v>
      </c>
      <c r="B18" s="20">
        <v>3.4</v>
      </c>
      <c r="C18" s="20">
        <v>6.8</v>
      </c>
      <c r="D18" s="20">
        <v>62.2</v>
      </c>
      <c r="E18" s="20">
        <v>45</v>
      </c>
      <c r="F18" s="20">
        <v>28.9</v>
      </c>
      <c r="G18" s="15" t="str">
        <f t="shared" si="0"/>
        <v>Pass</v>
      </c>
      <c r="H18" s="13"/>
      <c r="I18" t="str">
        <f t="shared" si="1"/>
        <v>Pass</v>
      </c>
      <c r="J18">
        <f>INDEX(C:C,MATCH(A17,A:A,0))</f>
        <v>9</v>
      </c>
      <c r="Z18" s="5"/>
    </row>
    <row r="19" spans="1:26" x14ac:dyDescent="0.25">
      <c r="A19" s="21" t="s">
        <v>17</v>
      </c>
      <c r="B19" s="22">
        <v>7.5</v>
      </c>
      <c r="C19" s="22">
        <v>7.6</v>
      </c>
      <c r="D19" s="22">
        <v>73.8</v>
      </c>
      <c r="E19" s="22">
        <v>58</v>
      </c>
      <c r="F19" s="22">
        <v>36.299999999999997</v>
      </c>
      <c r="G19" s="15" t="str">
        <f t="shared" si="0"/>
        <v>Pass</v>
      </c>
      <c r="H19" s="13"/>
      <c r="I19" t="str">
        <f t="shared" si="1"/>
        <v>Fail</v>
      </c>
      <c r="J19">
        <f>INDEX(C:C,MATCH(A18,A:A,0))</f>
        <v>6.8</v>
      </c>
      <c r="Z19" s="4"/>
    </row>
    <row r="20" spans="1:26" x14ac:dyDescent="0.25">
      <c r="A20" s="19" t="s">
        <v>18</v>
      </c>
      <c r="B20" s="20">
        <v>9.9</v>
      </c>
      <c r="C20" s="20">
        <v>4.8</v>
      </c>
      <c r="D20" s="20">
        <v>92.5</v>
      </c>
      <c r="E20" s="20">
        <v>54</v>
      </c>
      <c r="F20" s="20">
        <v>35.6</v>
      </c>
      <c r="G20" s="15" t="str">
        <f t="shared" si="0"/>
        <v>Pass</v>
      </c>
      <c r="H20" s="13"/>
      <c r="I20" t="str">
        <f t="shared" si="1"/>
        <v>Pass</v>
      </c>
      <c r="J20">
        <f>INDEX(C:C,MATCH(A19,A:A,0))</f>
        <v>7.6</v>
      </c>
      <c r="Z20" s="5"/>
    </row>
    <row r="21" spans="1:26" x14ac:dyDescent="0.25">
      <c r="A21" s="21" t="s">
        <v>19</v>
      </c>
      <c r="B21" s="22">
        <v>1.1000000000000001</v>
      </c>
      <c r="C21" s="22">
        <v>5.5</v>
      </c>
      <c r="D21" s="22">
        <v>53.6</v>
      </c>
      <c r="E21" s="22">
        <v>65</v>
      </c>
      <c r="F21" s="22">
        <v>17.100000000000001</v>
      </c>
      <c r="G21" s="15" t="str">
        <f t="shared" si="0"/>
        <v>Pass</v>
      </c>
      <c r="H21" s="13"/>
      <c r="I21" t="str">
        <f t="shared" si="1"/>
        <v>Pass</v>
      </c>
      <c r="J21">
        <f>INDEX(C:C,MATCH(A20,A:A,0))</f>
        <v>4.8</v>
      </c>
      <c r="Z21" s="4"/>
    </row>
    <row r="22" spans="1:26" x14ac:dyDescent="0.25">
      <c r="A22" s="19" t="s">
        <v>20</v>
      </c>
      <c r="B22" s="20">
        <v>9.9</v>
      </c>
      <c r="C22" s="20">
        <v>8.8000000000000007</v>
      </c>
      <c r="D22" s="20">
        <v>70.7</v>
      </c>
      <c r="E22" s="20">
        <v>84</v>
      </c>
      <c r="F22" s="20">
        <v>46</v>
      </c>
      <c r="G22" s="15" t="str">
        <f t="shared" si="0"/>
        <v>Pass</v>
      </c>
      <c r="H22" s="13"/>
      <c r="I22" t="str">
        <f t="shared" si="1"/>
        <v>Fail</v>
      </c>
      <c r="J22">
        <f>INDEX(C:C,MATCH(A21,A:A,0))</f>
        <v>5.5</v>
      </c>
      <c r="Z22" s="5"/>
    </row>
    <row r="23" spans="1:26" x14ac:dyDescent="0.25">
      <c r="A23" s="21" t="s">
        <v>21</v>
      </c>
      <c r="B23" s="22">
        <v>8.6999999999999993</v>
      </c>
      <c r="C23" s="22">
        <v>6.9</v>
      </c>
      <c r="D23" s="22">
        <v>81.5</v>
      </c>
      <c r="E23" s="22">
        <v>55</v>
      </c>
      <c r="F23" s="22">
        <v>36.1</v>
      </c>
      <c r="G23" s="15" t="str">
        <f t="shared" si="0"/>
        <v>Pass</v>
      </c>
      <c r="H23" s="13"/>
      <c r="I23" t="str">
        <f t="shared" si="1"/>
        <v>Pass</v>
      </c>
      <c r="J23">
        <f>INDEX(C:C,MATCH(A22,A:A,0))</f>
        <v>8.8000000000000007</v>
      </c>
      <c r="Z23" s="4"/>
    </row>
    <row r="24" spans="1:26" x14ac:dyDescent="0.25">
      <c r="A24" s="19" t="s">
        <v>22</v>
      </c>
      <c r="B24" s="20">
        <v>4.7</v>
      </c>
      <c r="C24" s="20">
        <v>6.7</v>
      </c>
      <c r="D24" s="20">
        <v>59.7</v>
      </c>
      <c r="E24" s="20">
        <v>59</v>
      </c>
      <c r="F24" s="20">
        <v>29.6</v>
      </c>
      <c r="G24" s="15" t="str">
        <f t="shared" si="0"/>
        <v>Pass</v>
      </c>
      <c r="H24" s="13"/>
      <c r="I24" t="str">
        <f t="shared" si="1"/>
        <v>Pass</v>
      </c>
      <c r="J24">
        <f>INDEX(C:C,MATCH(A23,A:A,0))</f>
        <v>6.9</v>
      </c>
      <c r="Z24" s="5"/>
    </row>
    <row r="25" spans="1:26" x14ac:dyDescent="0.25">
      <c r="A25" s="21" t="s">
        <v>23</v>
      </c>
      <c r="B25" s="22">
        <v>2.7</v>
      </c>
      <c r="C25" s="22">
        <v>7.7</v>
      </c>
      <c r="D25" s="22">
        <v>84.8</v>
      </c>
      <c r="E25" s="22">
        <v>82</v>
      </c>
      <c r="F25" s="22">
        <v>35.9</v>
      </c>
      <c r="G25" s="15" t="str">
        <f t="shared" si="0"/>
        <v>Pass</v>
      </c>
      <c r="H25" s="13"/>
      <c r="I25" t="str">
        <f t="shared" si="1"/>
        <v>Fail</v>
      </c>
      <c r="J25">
        <f>INDEX(C:C,MATCH(A24,A:A,0))</f>
        <v>6.7</v>
      </c>
      <c r="Z25" s="4"/>
    </row>
    <row r="26" spans="1:26" x14ac:dyDescent="0.25">
      <c r="A26" s="19" t="s">
        <v>24</v>
      </c>
      <c r="B26" s="20">
        <v>11.5</v>
      </c>
      <c r="C26" s="20">
        <v>4.3</v>
      </c>
      <c r="D26" s="20">
        <v>74.7</v>
      </c>
      <c r="E26" s="20">
        <v>77</v>
      </c>
      <c r="F26" s="20">
        <v>39.200000000000003</v>
      </c>
      <c r="G26" s="15" t="str">
        <f t="shared" si="0"/>
        <v>Pass</v>
      </c>
      <c r="H26" s="13"/>
      <c r="I26" t="str">
        <f t="shared" si="1"/>
        <v>Pass</v>
      </c>
      <c r="J26">
        <f>INDEX(C:C,MATCH(A25,A:A,0))</f>
        <v>7.7</v>
      </c>
      <c r="Z26" s="5"/>
    </row>
    <row r="27" spans="1:26" x14ac:dyDescent="0.25">
      <c r="A27" s="21" t="s">
        <v>25</v>
      </c>
      <c r="B27" s="22">
        <v>4.7</v>
      </c>
      <c r="C27" s="22">
        <v>6.9</v>
      </c>
      <c r="D27" s="22">
        <v>62.2</v>
      </c>
      <c r="E27" s="22">
        <v>63</v>
      </c>
      <c r="F27" s="22">
        <v>30</v>
      </c>
      <c r="G27" s="15" t="str">
        <f t="shared" si="0"/>
        <v>Pass</v>
      </c>
      <c r="H27" s="13"/>
      <c r="I27" t="str">
        <f t="shared" si="1"/>
        <v>Pass</v>
      </c>
      <c r="J27">
        <f>INDEX(C:C,MATCH(A26,A:A,0))</f>
        <v>4.3</v>
      </c>
      <c r="Z27" s="4"/>
    </row>
    <row r="28" spans="1:26" x14ac:dyDescent="0.25">
      <c r="A28" s="19" t="s">
        <v>26</v>
      </c>
      <c r="B28" s="20">
        <v>2</v>
      </c>
      <c r="C28" s="20">
        <v>6.5</v>
      </c>
      <c r="D28" s="20">
        <v>82.8</v>
      </c>
      <c r="E28" s="20">
        <v>70</v>
      </c>
      <c r="F28" s="20">
        <v>29</v>
      </c>
      <c r="G28" s="15" t="str">
        <f t="shared" si="0"/>
        <v>Pass</v>
      </c>
      <c r="H28" s="13"/>
      <c r="I28" t="str">
        <f t="shared" si="1"/>
        <v>Pass</v>
      </c>
      <c r="J28">
        <f>INDEX(C:C,MATCH(A27,A:A,0))</f>
        <v>6.9</v>
      </c>
      <c r="Z28" s="5"/>
    </row>
    <row r="29" spans="1:26" x14ac:dyDescent="0.25">
      <c r="A29" s="21" t="s">
        <v>27</v>
      </c>
      <c r="B29" s="22">
        <v>2.1</v>
      </c>
      <c r="C29" s="22">
        <v>8.3000000000000007</v>
      </c>
      <c r="D29" s="22">
        <v>50.3</v>
      </c>
      <c r="E29" s="22">
        <v>75</v>
      </c>
      <c r="F29" s="22">
        <v>26.5</v>
      </c>
      <c r="G29" s="15" t="str">
        <f t="shared" si="0"/>
        <v>Pass</v>
      </c>
      <c r="H29" s="13"/>
      <c r="I29" t="str">
        <f t="shared" si="1"/>
        <v>Fail</v>
      </c>
      <c r="J29">
        <f>INDEX(C:C,MATCH(A28,A:A,0))</f>
        <v>6.5</v>
      </c>
      <c r="Z29" s="4"/>
    </row>
    <row r="30" spans="1:26" x14ac:dyDescent="0.25">
      <c r="A30" s="19" t="s">
        <v>28</v>
      </c>
      <c r="B30" s="20">
        <v>10.3</v>
      </c>
      <c r="C30" s="20">
        <v>4.8</v>
      </c>
      <c r="D30" s="20">
        <v>87.5</v>
      </c>
      <c r="E30" s="20">
        <v>73</v>
      </c>
      <c r="F30" s="20">
        <v>37.200000000000003</v>
      </c>
      <c r="G30" s="15" t="str">
        <f t="shared" si="0"/>
        <v>Pass</v>
      </c>
      <c r="H30" s="13"/>
      <c r="I30" t="str">
        <f t="shared" si="1"/>
        <v>Fail</v>
      </c>
      <c r="J30">
        <f>INDEX(C:C,MATCH(A29,A:A,0))</f>
        <v>8.3000000000000007</v>
      </c>
      <c r="Z30" s="5"/>
    </row>
    <row r="31" spans="1:26" x14ac:dyDescent="0.25">
      <c r="A31" s="21" t="s">
        <v>29</v>
      </c>
      <c r="B31" s="22">
        <v>7.6</v>
      </c>
      <c r="C31" s="22">
        <v>8.8000000000000007</v>
      </c>
      <c r="D31" s="22">
        <v>88.5</v>
      </c>
      <c r="E31" s="22">
        <v>62</v>
      </c>
      <c r="F31" s="22">
        <v>36.200000000000003</v>
      </c>
      <c r="G31" s="15" t="str">
        <f t="shared" si="0"/>
        <v>Pass</v>
      </c>
      <c r="H31" s="13"/>
      <c r="I31" t="str">
        <f t="shared" si="1"/>
        <v>Pass</v>
      </c>
      <c r="J31">
        <f>INDEX(C:C,MATCH(A30,A:A,0))</f>
        <v>4.8</v>
      </c>
      <c r="Z31" s="4"/>
    </row>
    <row r="32" spans="1:26" x14ac:dyDescent="0.25">
      <c r="A32" s="19" t="s">
        <v>30</v>
      </c>
      <c r="B32" s="20">
        <v>9.9</v>
      </c>
      <c r="C32" s="20">
        <v>4.4000000000000004</v>
      </c>
      <c r="D32" s="20">
        <v>55.3</v>
      </c>
      <c r="E32" s="20">
        <v>67</v>
      </c>
      <c r="F32" s="20">
        <v>34.5</v>
      </c>
      <c r="G32" s="15" t="str">
        <f t="shared" si="0"/>
        <v>Pass</v>
      </c>
      <c r="H32" s="13"/>
      <c r="I32" t="str">
        <f t="shared" si="1"/>
        <v>Pass</v>
      </c>
      <c r="J32">
        <f>INDEX(C:C,MATCH(A31,A:A,0))</f>
        <v>8.8000000000000007</v>
      </c>
      <c r="Z32" s="5"/>
    </row>
    <row r="33" spans="1:26" x14ac:dyDescent="0.25">
      <c r="A33" s="21" t="s">
        <v>31</v>
      </c>
      <c r="B33" s="22">
        <v>9</v>
      </c>
      <c r="C33" s="22">
        <v>4.9000000000000004</v>
      </c>
      <c r="D33" s="22">
        <v>71.3</v>
      </c>
      <c r="E33" s="22">
        <v>87</v>
      </c>
      <c r="F33" s="22">
        <v>41.6</v>
      </c>
      <c r="G33" s="15" t="str">
        <f t="shared" si="0"/>
        <v>Pass</v>
      </c>
      <c r="H33" s="13"/>
      <c r="I33" t="str">
        <f t="shared" si="1"/>
        <v>Pass</v>
      </c>
      <c r="J33">
        <f>INDEX(C:C,MATCH(A32,A:A,0))</f>
        <v>4.4000000000000004</v>
      </c>
      <c r="Z33" s="4"/>
    </row>
    <row r="34" spans="1:26" x14ac:dyDescent="0.25">
      <c r="A34" s="19" t="s">
        <v>32</v>
      </c>
      <c r="B34" s="20">
        <v>6.9</v>
      </c>
      <c r="C34" s="20">
        <v>7</v>
      </c>
      <c r="D34" s="20">
        <v>58.8</v>
      </c>
      <c r="E34" s="20">
        <v>75</v>
      </c>
      <c r="F34" s="20">
        <v>38.1</v>
      </c>
      <c r="G34" s="15" t="str">
        <f t="shared" ref="G34:G65" si="2">IF(E33&gt;=30,"Pass","Fail")</f>
        <v>Pass</v>
      </c>
      <c r="H34" s="13"/>
      <c r="I34" t="str">
        <f t="shared" si="1"/>
        <v>Pass</v>
      </c>
      <c r="J34">
        <f>INDEX(C:C,MATCH(A33,A:A,0))</f>
        <v>4.9000000000000004</v>
      </c>
      <c r="Z34" s="5"/>
    </row>
    <row r="35" spans="1:26" x14ac:dyDescent="0.25">
      <c r="A35" s="21" t="s">
        <v>33</v>
      </c>
      <c r="B35" s="22">
        <v>11.7</v>
      </c>
      <c r="C35" s="22">
        <v>7.4</v>
      </c>
      <c r="D35" s="22">
        <v>97.9</v>
      </c>
      <c r="E35" s="22">
        <v>61</v>
      </c>
      <c r="F35" s="22">
        <v>42.7</v>
      </c>
      <c r="G35" s="15" t="str">
        <f t="shared" si="2"/>
        <v>Pass</v>
      </c>
      <c r="H35" s="13"/>
      <c r="I35" t="str">
        <f t="shared" ref="I35:I66" si="3">IF(F34&gt;=30,"Pass","Fail")</f>
        <v>Pass</v>
      </c>
      <c r="J35">
        <f>INDEX(C:C,MATCH(A34,A:A,0))</f>
        <v>7</v>
      </c>
      <c r="Z35" s="4"/>
    </row>
    <row r="36" spans="1:26" x14ac:dyDescent="0.25">
      <c r="A36" s="19" t="s">
        <v>34</v>
      </c>
      <c r="B36" s="20">
        <v>5.2</v>
      </c>
      <c r="C36" s="20">
        <v>5.2</v>
      </c>
      <c r="D36" s="20">
        <v>75.900000000000006</v>
      </c>
      <c r="E36" s="20">
        <v>62</v>
      </c>
      <c r="F36" s="20">
        <v>32</v>
      </c>
      <c r="G36" s="15" t="str">
        <f t="shared" si="2"/>
        <v>Pass</v>
      </c>
      <c r="H36" s="13"/>
      <c r="I36" t="str">
        <f t="shared" si="3"/>
        <v>Pass</v>
      </c>
      <c r="J36">
        <f>INDEX(C:C,MATCH(A35,A:A,0))</f>
        <v>7.4</v>
      </c>
      <c r="Z36" s="5"/>
    </row>
    <row r="37" spans="1:26" x14ac:dyDescent="0.25">
      <c r="A37" s="21" t="s">
        <v>35</v>
      </c>
      <c r="B37" s="22">
        <v>7.1</v>
      </c>
      <c r="C37" s="22">
        <v>4.5999999999999996</v>
      </c>
      <c r="D37" s="22">
        <v>52.5</v>
      </c>
      <c r="E37" s="22">
        <v>84</v>
      </c>
      <c r="F37" s="22">
        <v>32</v>
      </c>
      <c r="G37" s="15" t="str">
        <f t="shared" si="2"/>
        <v>Pass</v>
      </c>
      <c r="H37" s="13"/>
      <c r="I37" t="str">
        <f t="shared" si="3"/>
        <v>Pass</v>
      </c>
      <c r="J37">
        <f>INDEX(C:C,MATCH(A36,A:A,0))</f>
        <v>5.2</v>
      </c>
      <c r="Z37" s="4"/>
    </row>
    <row r="38" spans="1:26" x14ac:dyDescent="0.25">
      <c r="A38" s="19" t="s">
        <v>36</v>
      </c>
      <c r="B38" s="20">
        <v>10.1</v>
      </c>
      <c r="C38" s="20">
        <v>8.5</v>
      </c>
      <c r="D38" s="20">
        <v>62.5</v>
      </c>
      <c r="E38" s="20">
        <v>69</v>
      </c>
      <c r="F38" s="20">
        <v>44.7</v>
      </c>
      <c r="G38" s="15" t="str">
        <f t="shared" si="2"/>
        <v>Pass</v>
      </c>
      <c r="H38" s="13"/>
      <c r="I38" t="str">
        <f t="shared" si="3"/>
        <v>Pass</v>
      </c>
      <c r="J38">
        <f>INDEX(C:C,MATCH(A37,A:A,0))</f>
        <v>4.5999999999999996</v>
      </c>
      <c r="Z38" s="5"/>
    </row>
    <row r="39" spans="1:26" x14ac:dyDescent="0.25">
      <c r="A39" s="21" t="s">
        <v>37</v>
      </c>
      <c r="B39" s="22">
        <v>7.8</v>
      </c>
      <c r="C39" s="22">
        <v>5.2</v>
      </c>
      <c r="D39" s="22">
        <v>92.4</v>
      </c>
      <c r="E39" s="22">
        <v>57</v>
      </c>
      <c r="F39" s="22">
        <v>38.299999999999997</v>
      </c>
      <c r="G39" s="15" t="str">
        <f t="shared" si="2"/>
        <v>Pass</v>
      </c>
      <c r="H39" s="13"/>
      <c r="I39" t="str">
        <f t="shared" si="3"/>
        <v>Pass</v>
      </c>
      <c r="J39">
        <f>INDEX(C:C,MATCH(A38,A:A,0))</f>
        <v>8.5</v>
      </c>
      <c r="Z39" s="4"/>
    </row>
    <row r="40" spans="1:26" x14ac:dyDescent="0.25">
      <c r="A40" s="19" t="s">
        <v>38</v>
      </c>
      <c r="B40" s="20">
        <v>10.5</v>
      </c>
      <c r="C40" s="20">
        <v>7</v>
      </c>
      <c r="D40" s="20">
        <v>72.8</v>
      </c>
      <c r="E40" s="20">
        <v>59</v>
      </c>
      <c r="F40" s="20">
        <v>39.799999999999997</v>
      </c>
      <c r="G40" s="15" t="str">
        <f t="shared" si="2"/>
        <v>Pass</v>
      </c>
      <c r="H40" s="13"/>
      <c r="I40" t="str">
        <f t="shared" si="3"/>
        <v>Pass</v>
      </c>
      <c r="J40">
        <f>INDEX(C:C,MATCH(A39,A:A,0))</f>
        <v>5.2</v>
      </c>
      <c r="Z40" s="5"/>
    </row>
    <row r="41" spans="1:26" x14ac:dyDescent="0.25">
      <c r="A41" s="21" t="s">
        <v>39</v>
      </c>
      <c r="B41" s="22">
        <v>7.4</v>
      </c>
      <c r="C41" s="22">
        <v>7.1</v>
      </c>
      <c r="D41" s="22">
        <v>90.1</v>
      </c>
      <c r="E41" s="22">
        <v>56</v>
      </c>
      <c r="F41" s="22">
        <v>35</v>
      </c>
      <c r="G41" s="15" t="str">
        <f t="shared" si="2"/>
        <v>Pass</v>
      </c>
      <c r="H41" s="13"/>
      <c r="I41" t="str">
        <f t="shared" si="3"/>
        <v>Pass</v>
      </c>
      <c r="J41">
        <f>INDEX(C:C,MATCH(A40,A:A,0))</f>
        <v>7</v>
      </c>
      <c r="Z41" s="4"/>
    </row>
    <row r="42" spans="1:26" x14ac:dyDescent="0.25">
      <c r="A42" s="19" t="s">
        <v>40</v>
      </c>
      <c r="B42" s="20">
        <v>8.8000000000000007</v>
      </c>
      <c r="C42" s="20">
        <v>6.1</v>
      </c>
      <c r="D42" s="20">
        <v>83.4</v>
      </c>
      <c r="E42" s="20">
        <v>54</v>
      </c>
      <c r="F42" s="20">
        <v>34.200000000000003</v>
      </c>
      <c r="G42" s="15" t="str">
        <f t="shared" si="2"/>
        <v>Pass</v>
      </c>
      <c r="H42" s="13"/>
      <c r="I42" t="str">
        <f t="shared" si="3"/>
        <v>Pass</v>
      </c>
      <c r="J42">
        <f>INDEX(C:C,MATCH(A41,A:A,0))</f>
        <v>7.1</v>
      </c>
      <c r="Z42" s="5"/>
    </row>
    <row r="43" spans="1:26" x14ac:dyDescent="0.25">
      <c r="A43" s="21" t="s">
        <v>41</v>
      </c>
      <c r="B43" s="22">
        <v>1.5</v>
      </c>
      <c r="C43" s="22">
        <v>6.9</v>
      </c>
      <c r="D43" s="22">
        <v>99.4</v>
      </c>
      <c r="E43" s="22">
        <v>47</v>
      </c>
      <c r="F43" s="22">
        <v>23.1</v>
      </c>
      <c r="G43" s="15" t="str">
        <f t="shared" si="2"/>
        <v>Pass</v>
      </c>
      <c r="H43" s="13"/>
      <c r="I43" t="str">
        <f t="shared" si="3"/>
        <v>Pass</v>
      </c>
      <c r="J43">
        <f>INDEX(C:C,MATCH(A42,A:A,0))</f>
        <v>6.1</v>
      </c>
      <c r="Z43" s="4"/>
    </row>
    <row r="44" spans="1:26" x14ac:dyDescent="0.25">
      <c r="A44" s="19" t="s">
        <v>42</v>
      </c>
      <c r="B44" s="20">
        <v>3.5</v>
      </c>
      <c r="C44" s="20">
        <v>6.6</v>
      </c>
      <c r="D44" s="20">
        <v>79.8</v>
      </c>
      <c r="E44" s="20">
        <v>86</v>
      </c>
      <c r="F44" s="20">
        <v>37.200000000000003</v>
      </c>
      <c r="G44" s="15" t="str">
        <f t="shared" si="2"/>
        <v>Pass</v>
      </c>
      <c r="H44" s="13"/>
      <c r="I44" t="str">
        <f t="shared" si="3"/>
        <v>Fail</v>
      </c>
      <c r="J44">
        <f>INDEX(C:C,MATCH(A43,A:A,0))</f>
        <v>6.9</v>
      </c>
      <c r="Z44" s="5"/>
    </row>
    <row r="45" spans="1:26" x14ac:dyDescent="0.25">
      <c r="A45" s="21" t="s">
        <v>43</v>
      </c>
      <c r="B45" s="22">
        <v>4.2</v>
      </c>
      <c r="C45" s="22">
        <v>8.6999999999999993</v>
      </c>
      <c r="D45" s="22">
        <v>97.5</v>
      </c>
      <c r="E45" s="22">
        <v>52</v>
      </c>
      <c r="F45" s="22">
        <v>30.3</v>
      </c>
      <c r="G45" s="15" t="str">
        <f t="shared" si="2"/>
        <v>Pass</v>
      </c>
      <c r="H45" s="13"/>
      <c r="I45" t="str">
        <f t="shared" si="3"/>
        <v>Pass</v>
      </c>
      <c r="J45">
        <f>INDEX(C:C,MATCH(A44,A:A,0))</f>
        <v>6.6</v>
      </c>
      <c r="Z45" s="4"/>
    </row>
    <row r="46" spans="1:26" x14ac:dyDescent="0.25">
      <c r="A46" s="19" t="s">
        <v>44</v>
      </c>
      <c r="B46" s="20">
        <v>1.9</v>
      </c>
      <c r="C46" s="20">
        <v>5</v>
      </c>
      <c r="D46" s="20">
        <v>94.6</v>
      </c>
      <c r="E46" s="20">
        <v>60</v>
      </c>
      <c r="F46" s="20">
        <v>26.1</v>
      </c>
      <c r="G46" s="15" t="str">
        <f t="shared" si="2"/>
        <v>Pass</v>
      </c>
      <c r="H46" s="13"/>
      <c r="I46" t="str">
        <f t="shared" si="3"/>
        <v>Pass</v>
      </c>
      <c r="J46">
        <f>INDEX(C:C,MATCH(A45,A:A,0))</f>
        <v>8.6999999999999993</v>
      </c>
      <c r="Z46" s="5"/>
    </row>
    <row r="47" spans="1:26" x14ac:dyDescent="0.25">
      <c r="A47" s="21" t="s">
        <v>45</v>
      </c>
      <c r="B47" s="22">
        <v>3.6</v>
      </c>
      <c r="C47" s="22">
        <v>7.6</v>
      </c>
      <c r="D47" s="22">
        <v>80.599999999999994</v>
      </c>
      <c r="E47" s="22">
        <v>47</v>
      </c>
      <c r="F47" s="22">
        <v>31.8</v>
      </c>
      <c r="G47" s="15" t="str">
        <f t="shared" si="2"/>
        <v>Pass</v>
      </c>
      <c r="H47" s="13"/>
      <c r="I47" t="str">
        <f t="shared" si="3"/>
        <v>Fail</v>
      </c>
      <c r="J47">
        <f>INDEX(C:C,MATCH(A46,A:A,0))</f>
        <v>5</v>
      </c>
      <c r="Z47" s="4"/>
    </row>
    <row r="48" spans="1:26" x14ac:dyDescent="0.25">
      <c r="A48" s="19" t="s">
        <v>46</v>
      </c>
      <c r="B48" s="20">
        <v>2.1</v>
      </c>
      <c r="C48" s="20">
        <v>5.2</v>
      </c>
      <c r="D48" s="20">
        <v>86</v>
      </c>
      <c r="E48" s="20">
        <v>87</v>
      </c>
      <c r="F48" s="20">
        <v>31.6</v>
      </c>
      <c r="G48" s="15" t="str">
        <f t="shared" si="2"/>
        <v>Pass</v>
      </c>
      <c r="H48" s="13"/>
      <c r="I48" t="str">
        <f t="shared" si="3"/>
        <v>Pass</v>
      </c>
      <c r="J48">
        <f>INDEX(C:C,MATCH(A47,A:A,0))</f>
        <v>7.6</v>
      </c>
      <c r="Z48" s="5"/>
    </row>
    <row r="49" spans="1:26" x14ac:dyDescent="0.25">
      <c r="A49" s="21" t="s">
        <v>47</v>
      </c>
      <c r="B49" s="22">
        <v>4.0999999999999996</v>
      </c>
      <c r="C49" s="22">
        <v>6</v>
      </c>
      <c r="D49" s="22">
        <v>75.2</v>
      </c>
      <c r="E49" s="22">
        <v>74</v>
      </c>
      <c r="F49" s="22">
        <v>31.1</v>
      </c>
      <c r="G49" s="15" t="str">
        <f t="shared" si="2"/>
        <v>Pass</v>
      </c>
      <c r="H49" s="13"/>
      <c r="I49" t="str">
        <f t="shared" si="3"/>
        <v>Pass</v>
      </c>
      <c r="J49">
        <f>INDEX(C:C,MATCH(A48,A:A,0))</f>
        <v>5.2</v>
      </c>
      <c r="Z49" s="4"/>
    </row>
    <row r="50" spans="1:26" x14ac:dyDescent="0.25">
      <c r="A50" s="19" t="s">
        <v>48</v>
      </c>
      <c r="B50" s="20">
        <v>8</v>
      </c>
      <c r="C50" s="20">
        <v>7.4</v>
      </c>
      <c r="D50" s="20">
        <v>91.5</v>
      </c>
      <c r="E50" s="20">
        <v>88</v>
      </c>
      <c r="F50" s="20">
        <v>41.2</v>
      </c>
      <c r="G50" s="15" t="str">
        <f t="shared" si="2"/>
        <v>Pass</v>
      </c>
      <c r="H50" s="13"/>
      <c r="I50" t="str">
        <f t="shared" si="3"/>
        <v>Pass</v>
      </c>
      <c r="J50">
        <f>INDEX(C:C,MATCH(A49,A:A,0))</f>
        <v>6</v>
      </c>
      <c r="Z50" s="5"/>
    </row>
    <row r="51" spans="1:26" x14ac:dyDescent="0.25">
      <c r="A51" s="21" t="s">
        <v>49</v>
      </c>
      <c r="B51" s="22">
        <v>5</v>
      </c>
      <c r="C51" s="22">
        <v>5.5</v>
      </c>
      <c r="D51" s="22">
        <v>77.400000000000006</v>
      </c>
      <c r="E51" s="22">
        <v>84</v>
      </c>
      <c r="F51" s="22">
        <v>30.6</v>
      </c>
      <c r="G51" s="15" t="str">
        <f t="shared" si="2"/>
        <v>Pass</v>
      </c>
      <c r="H51" s="13"/>
      <c r="I51" t="str">
        <f t="shared" si="3"/>
        <v>Pass</v>
      </c>
      <c r="J51">
        <f>INDEX(C:C,MATCH(A50,A:A,0))</f>
        <v>7.4</v>
      </c>
      <c r="Z51" s="4"/>
    </row>
    <row r="52" spans="1:26" x14ac:dyDescent="0.25">
      <c r="A52" s="19" t="s">
        <v>50</v>
      </c>
      <c r="B52" s="20">
        <v>5.0999999999999996</v>
      </c>
      <c r="C52" s="20">
        <v>5.6</v>
      </c>
      <c r="D52" s="20">
        <v>94.9</v>
      </c>
      <c r="E52" s="20">
        <v>51</v>
      </c>
      <c r="F52" s="20">
        <v>28.8</v>
      </c>
      <c r="G52" s="15" t="str">
        <f t="shared" si="2"/>
        <v>Pass</v>
      </c>
      <c r="H52" s="13"/>
      <c r="I52" t="str">
        <f t="shared" si="3"/>
        <v>Pass</v>
      </c>
      <c r="J52">
        <f>INDEX(C:C,MATCH(A51,A:A,0))</f>
        <v>5.5</v>
      </c>
      <c r="Z52" s="5"/>
    </row>
    <row r="53" spans="1:26" x14ac:dyDescent="0.25">
      <c r="A53" s="21" t="s">
        <v>51</v>
      </c>
      <c r="B53" s="22">
        <v>3.3</v>
      </c>
      <c r="C53" s="22">
        <v>7.8</v>
      </c>
      <c r="D53" s="22">
        <v>87.2</v>
      </c>
      <c r="E53" s="22">
        <v>52</v>
      </c>
      <c r="F53" s="22">
        <v>30.7</v>
      </c>
      <c r="G53" s="15" t="str">
        <f t="shared" si="2"/>
        <v>Pass</v>
      </c>
      <c r="H53" s="13"/>
      <c r="I53" t="str">
        <f t="shared" si="3"/>
        <v>Fail</v>
      </c>
      <c r="J53">
        <f>INDEX(C:C,MATCH(A52,A:A,0))</f>
        <v>5.6</v>
      </c>
      <c r="Z53" s="4"/>
    </row>
    <row r="54" spans="1:26" x14ac:dyDescent="0.25">
      <c r="A54" s="19" t="s">
        <v>52</v>
      </c>
      <c r="B54" s="20">
        <v>3.9</v>
      </c>
      <c r="C54" s="20">
        <v>4.4000000000000004</v>
      </c>
      <c r="D54" s="20">
        <v>73.7</v>
      </c>
      <c r="E54" s="20">
        <v>53</v>
      </c>
      <c r="F54" s="20">
        <v>26.9</v>
      </c>
      <c r="G54" s="15" t="str">
        <f t="shared" si="2"/>
        <v>Pass</v>
      </c>
      <c r="H54" s="13"/>
      <c r="I54" t="str">
        <f t="shared" si="3"/>
        <v>Pass</v>
      </c>
      <c r="J54">
        <f>INDEX(C:C,MATCH(A53,A:A,0))</f>
        <v>7.8</v>
      </c>
      <c r="Z54" s="5"/>
    </row>
    <row r="55" spans="1:26" x14ac:dyDescent="0.25">
      <c r="A55" s="21" t="s">
        <v>53</v>
      </c>
      <c r="B55" s="22">
        <v>11.3</v>
      </c>
      <c r="C55" s="22">
        <v>6.3</v>
      </c>
      <c r="D55" s="22">
        <v>63</v>
      </c>
      <c r="E55" s="22">
        <v>87</v>
      </c>
      <c r="F55" s="22">
        <v>46.4</v>
      </c>
      <c r="G55" s="15" t="str">
        <f t="shared" si="2"/>
        <v>Pass</v>
      </c>
      <c r="H55" s="13"/>
      <c r="I55" t="str">
        <f t="shared" si="3"/>
        <v>Fail</v>
      </c>
      <c r="J55">
        <f>INDEX(C:C,MATCH(A54,A:A,0))</f>
        <v>4.4000000000000004</v>
      </c>
      <c r="Z55" s="4"/>
    </row>
    <row r="56" spans="1:26" x14ac:dyDescent="0.25">
      <c r="A56" s="19" t="s">
        <v>54</v>
      </c>
      <c r="B56" s="20">
        <v>8.1</v>
      </c>
      <c r="C56" s="20">
        <v>9</v>
      </c>
      <c r="D56" s="20">
        <v>62.4</v>
      </c>
      <c r="E56" s="20">
        <v>70</v>
      </c>
      <c r="F56" s="20">
        <v>34.4</v>
      </c>
      <c r="G56" s="15" t="str">
        <f t="shared" si="2"/>
        <v>Pass</v>
      </c>
      <c r="H56" s="13"/>
      <c r="I56" t="str">
        <f t="shared" si="3"/>
        <v>Pass</v>
      </c>
      <c r="J56">
        <f>INDEX(C:C,MATCH(A55,A:A,0))</f>
        <v>6.3</v>
      </c>
      <c r="Z56" s="5"/>
    </row>
    <row r="57" spans="1:26" x14ac:dyDescent="0.25">
      <c r="A57" s="21" t="s">
        <v>55</v>
      </c>
      <c r="B57" s="22">
        <v>7.7</v>
      </c>
      <c r="C57" s="22">
        <v>9</v>
      </c>
      <c r="D57" s="22">
        <v>81.900000000000006</v>
      </c>
      <c r="E57" s="22">
        <v>57</v>
      </c>
      <c r="F57" s="22">
        <v>37</v>
      </c>
      <c r="G57" s="15" t="str">
        <f t="shared" si="2"/>
        <v>Pass</v>
      </c>
      <c r="H57" s="13"/>
      <c r="I57" t="str">
        <f t="shared" si="3"/>
        <v>Pass</v>
      </c>
      <c r="J57">
        <f>INDEX(C:C,MATCH(A56,A:A,0))</f>
        <v>9</v>
      </c>
      <c r="Z57" s="4"/>
    </row>
    <row r="58" spans="1:26" x14ac:dyDescent="0.25">
      <c r="A58" s="19" t="s">
        <v>56</v>
      </c>
      <c r="B58" s="20">
        <v>2.9</v>
      </c>
      <c r="C58" s="20">
        <v>4.4000000000000004</v>
      </c>
      <c r="D58" s="20">
        <v>88.3</v>
      </c>
      <c r="E58" s="20">
        <v>86</v>
      </c>
      <c r="F58" s="20">
        <v>35.200000000000003</v>
      </c>
      <c r="G58" s="15" t="str">
        <f t="shared" si="2"/>
        <v>Pass</v>
      </c>
      <c r="H58" s="13"/>
      <c r="I58" t="str">
        <f t="shared" si="3"/>
        <v>Pass</v>
      </c>
      <c r="J58">
        <f>INDEX(C:C,MATCH(A57,A:A,0))</f>
        <v>9</v>
      </c>
      <c r="Z58" s="5"/>
    </row>
    <row r="59" spans="1:26" x14ac:dyDescent="0.25">
      <c r="A59" s="21" t="s">
        <v>57</v>
      </c>
      <c r="B59" s="22">
        <v>9</v>
      </c>
      <c r="C59" s="22">
        <v>5.0999999999999996</v>
      </c>
      <c r="D59" s="22">
        <v>76.099999999999994</v>
      </c>
      <c r="E59" s="22">
        <v>77</v>
      </c>
      <c r="F59" s="22">
        <v>38.200000000000003</v>
      </c>
      <c r="G59" s="15" t="str">
        <f t="shared" si="2"/>
        <v>Pass</v>
      </c>
      <c r="H59" s="13"/>
      <c r="I59" t="str">
        <f t="shared" si="3"/>
        <v>Pass</v>
      </c>
      <c r="J59">
        <f>INDEX(C:C,MATCH(A58,A:A,0))</f>
        <v>4.4000000000000004</v>
      </c>
      <c r="Z59" s="4"/>
    </row>
    <row r="60" spans="1:26" x14ac:dyDescent="0.25">
      <c r="A60" s="19" t="s">
        <v>58</v>
      </c>
      <c r="B60" s="20">
        <v>2.8</v>
      </c>
      <c r="C60" s="20">
        <v>5.3</v>
      </c>
      <c r="D60" s="20">
        <v>81.3</v>
      </c>
      <c r="E60" s="20">
        <v>88</v>
      </c>
      <c r="F60" s="20">
        <v>33</v>
      </c>
      <c r="G60" s="15" t="str">
        <f t="shared" si="2"/>
        <v>Pass</v>
      </c>
      <c r="H60" s="13"/>
      <c r="I60" t="str">
        <f t="shared" si="3"/>
        <v>Pass</v>
      </c>
      <c r="J60">
        <f>INDEX(C:C,MATCH(A59,A:A,0))</f>
        <v>5.0999999999999996</v>
      </c>
      <c r="Z60" s="5"/>
    </row>
    <row r="61" spans="1:26" x14ac:dyDescent="0.25">
      <c r="A61" s="21" t="s">
        <v>59</v>
      </c>
      <c r="B61" s="22">
        <v>5.2</v>
      </c>
      <c r="C61" s="22">
        <v>8.6999999999999993</v>
      </c>
      <c r="D61" s="22">
        <v>63.7</v>
      </c>
      <c r="E61" s="22">
        <v>73</v>
      </c>
      <c r="F61" s="22">
        <v>29.2</v>
      </c>
      <c r="G61" s="15" t="str">
        <f t="shared" si="2"/>
        <v>Pass</v>
      </c>
      <c r="H61" s="13"/>
      <c r="I61" t="str">
        <f t="shared" si="3"/>
        <v>Pass</v>
      </c>
      <c r="J61">
        <f>INDEX(C:C,MATCH(A60,A:A,0))</f>
        <v>5.3</v>
      </c>
      <c r="Z61" s="4"/>
    </row>
    <row r="62" spans="1:26" x14ac:dyDescent="0.25">
      <c r="A62" s="19" t="s">
        <v>60</v>
      </c>
      <c r="B62" s="20">
        <v>11.9</v>
      </c>
      <c r="C62" s="20">
        <v>8.4</v>
      </c>
      <c r="D62" s="20">
        <v>53.9</v>
      </c>
      <c r="E62" s="20">
        <v>78</v>
      </c>
      <c r="F62" s="20">
        <v>48.6</v>
      </c>
      <c r="G62" s="15" t="str">
        <f t="shared" si="2"/>
        <v>Pass</v>
      </c>
      <c r="H62" s="13"/>
      <c r="I62" t="str">
        <f t="shared" si="3"/>
        <v>Fail</v>
      </c>
      <c r="J62">
        <f>INDEX(C:C,MATCH(A61,A:A,0))</f>
        <v>8.6999999999999993</v>
      </c>
      <c r="Z62" s="5"/>
    </row>
    <row r="63" spans="1:26" x14ac:dyDescent="0.25">
      <c r="A63" s="21" t="s">
        <v>61</v>
      </c>
      <c r="B63" s="22">
        <v>8</v>
      </c>
      <c r="C63" s="22">
        <v>8.4</v>
      </c>
      <c r="D63" s="22">
        <v>64.3</v>
      </c>
      <c r="E63" s="22">
        <v>58</v>
      </c>
      <c r="F63" s="22">
        <v>36.1</v>
      </c>
      <c r="G63" s="15" t="str">
        <f t="shared" si="2"/>
        <v>Pass</v>
      </c>
      <c r="H63" s="13"/>
      <c r="I63" t="str">
        <f t="shared" si="3"/>
        <v>Pass</v>
      </c>
      <c r="J63">
        <f>INDEX(C:C,MATCH(A62,A:A,0))</f>
        <v>8.4</v>
      </c>
      <c r="Z63" s="4"/>
    </row>
    <row r="64" spans="1:26" x14ac:dyDescent="0.25">
      <c r="A64" s="19" t="s">
        <v>62</v>
      </c>
      <c r="B64" s="20">
        <v>7.1</v>
      </c>
      <c r="C64" s="20">
        <v>5.8</v>
      </c>
      <c r="D64" s="20">
        <v>63.6</v>
      </c>
      <c r="E64" s="20">
        <v>46</v>
      </c>
      <c r="F64" s="20">
        <v>27.1</v>
      </c>
      <c r="G64" s="15" t="str">
        <f t="shared" si="2"/>
        <v>Pass</v>
      </c>
      <c r="H64" s="13"/>
      <c r="I64" t="str">
        <f t="shared" si="3"/>
        <v>Pass</v>
      </c>
      <c r="J64">
        <f>INDEX(C:C,MATCH(A63,A:A,0))</f>
        <v>8.4</v>
      </c>
      <c r="Z64" s="5"/>
    </row>
    <row r="65" spans="1:26" x14ac:dyDescent="0.25">
      <c r="A65" s="21" t="s">
        <v>63</v>
      </c>
      <c r="B65" s="22">
        <v>8.5</v>
      </c>
      <c r="C65" s="22">
        <v>4.8</v>
      </c>
      <c r="D65" s="22">
        <v>66</v>
      </c>
      <c r="E65" s="22">
        <v>93</v>
      </c>
      <c r="F65" s="22">
        <v>36.1</v>
      </c>
      <c r="G65" s="15" t="str">
        <f t="shared" si="2"/>
        <v>Pass</v>
      </c>
      <c r="H65" s="13"/>
      <c r="I65" t="str">
        <f t="shared" si="3"/>
        <v>Fail</v>
      </c>
      <c r="J65">
        <f>INDEX(C:C,MATCH(A64,A:A,0))</f>
        <v>5.8</v>
      </c>
      <c r="Z65" s="4"/>
    </row>
    <row r="66" spans="1:26" x14ac:dyDescent="0.25">
      <c r="A66" s="19" t="s">
        <v>64</v>
      </c>
      <c r="B66" s="20">
        <v>10.3</v>
      </c>
      <c r="C66" s="20">
        <v>8.1999999999999993</v>
      </c>
      <c r="D66" s="20">
        <v>77</v>
      </c>
      <c r="E66" s="20">
        <v>52</v>
      </c>
      <c r="F66" s="20">
        <v>39.5</v>
      </c>
      <c r="G66" s="15" t="str">
        <f t="shared" ref="G66:G97" si="4">IF(E65&gt;=30,"Pass","Fail")</f>
        <v>Pass</v>
      </c>
      <c r="H66" s="13"/>
      <c r="I66" t="str">
        <f t="shared" si="3"/>
        <v>Pass</v>
      </c>
      <c r="J66">
        <f>INDEX(C:C,MATCH(A65,A:A,0))</f>
        <v>4.8</v>
      </c>
      <c r="Z66" s="5"/>
    </row>
    <row r="67" spans="1:26" x14ac:dyDescent="0.25">
      <c r="A67" s="21" t="s">
        <v>65</v>
      </c>
      <c r="B67" s="22">
        <v>9.5</v>
      </c>
      <c r="C67" s="22">
        <v>7.5</v>
      </c>
      <c r="D67" s="22">
        <v>56.9</v>
      </c>
      <c r="E67" s="22">
        <v>58</v>
      </c>
      <c r="F67" s="22">
        <v>36.700000000000003</v>
      </c>
      <c r="G67" s="15" t="str">
        <f t="shared" si="4"/>
        <v>Pass</v>
      </c>
      <c r="H67" s="13"/>
      <c r="I67" t="str">
        <f t="shared" ref="I67:I98" si="5">IF(F66&gt;=30,"Pass","Fail")</f>
        <v>Pass</v>
      </c>
      <c r="J67">
        <f>INDEX(C:C,MATCH(A66,A:A,0))</f>
        <v>8.1999999999999993</v>
      </c>
      <c r="Z67" s="4"/>
    </row>
    <row r="68" spans="1:26" x14ac:dyDescent="0.25">
      <c r="A68" s="19" t="s">
        <v>66</v>
      </c>
      <c r="B68" s="20">
        <v>3.5</v>
      </c>
      <c r="C68" s="20">
        <v>7.1</v>
      </c>
      <c r="D68" s="20">
        <v>61.6</v>
      </c>
      <c r="E68" s="20">
        <v>54</v>
      </c>
      <c r="F68" s="20">
        <v>21.7</v>
      </c>
      <c r="G68" s="15" t="str">
        <f t="shared" si="4"/>
        <v>Pass</v>
      </c>
      <c r="H68" s="13"/>
      <c r="I68" t="str">
        <f t="shared" si="5"/>
        <v>Pass</v>
      </c>
      <c r="J68">
        <f>INDEX(C:C,MATCH(A67,A:A,0))</f>
        <v>7.5</v>
      </c>
      <c r="Z68" s="5"/>
    </row>
    <row r="69" spans="1:26" x14ac:dyDescent="0.25">
      <c r="A69" s="21" t="s">
        <v>67</v>
      </c>
      <c r="B69" s="22">
        <v>1.4</v>
      </c>
      <c r="C69" s="22">
        <v>8.9</v>
      </c>
      <c r="D69" s="22">
        <v>84.7</v>
      </c>
      <c r="E69" s="22">
        <v>63</v>
      </c>
      <c r="F69" s="22">
        <v>32.200000000000003</v>
      </c>
      <c r="G69" s="15" t="str">
        <f t="shared" si="4"/>
        <v>Pass</v>
      </c>
      <c r="H69" s="13"/>
      <c r="I69" t="str">
        <f t="shared" si="5"/>
        <v>Fail</v>
      </c>
      <c r="J69">
        <f>INDEX(C:C,MATCH(A68,A:A,0))</f>
        <v>7.1</v>
      </c>
      <c r="Z69" s="4"/>
    </row>
    <row r="70" spans="1:26" x14ac:dyDescent="0.25">
      <c r="A70" s="19" t="s">
        <v>68</v>
      </c>
      <c r="B70" s="20">
        <v>4.5</v>
      </c>
      <c r="C70" s="20">
        <v>7.3</v>
      </c>
      <c r="D70" s="20">
        <v>85.3</v>
      </c>
      <c r="E70" s="20">
        <v>51</v>
      </c>
      <c r="F70" s="20">
        <v>33.5</v>
      </c>
      <c r="G70" s="15" t="str">
        <f t="shared" si="4"/>
        <v>Pass</v>
      </c>
      <c r="H70" s="13"/>
      <c r="I70" t="str">
        <f t="shared" si="5"/>
        <v>Pass</v>
      </c>
      <c r="J70">
        <f>INDEX(C:C,MATCH(A69,A:A,0))</f>
        <v>8.9</v>
      </c>
      <c r="Z70" s="5"/>
    </row>
    <row r="71" spans="1:26" x14ac:dyDescent="0.25">
      <c r="A71" s="21" t="s">
        <v>69</v>
      </c>
      <c r="B71" s="22">
        <v>3.9</v>
      </c>
      <c r="C71" s="22">
        <v>4</v>
      </c>
      <c r="D71" s="22">
        <v>53.2</v>
      </c>
      <c r="E71" s="22">
        <v>59</v>
      </c>
      <c r="F71" s="22">
        <v>23.9</v>
      </c>
      <c r="G71" s="15" t="str">
        <f t="shared" si="4"/>
        <v>Pass</v>
      </c>
      <c r="H71" s="13"/>
      <c r="I71" t="str">
        <f t="shared" si="5"/>
        <v>Pass</v>
      </c>
      <c r="J71">
        <f>INDEX(C:C,MATCH(A70,A:A,0))</f>
        <v>7.3</v>
      </c>
      <c r="Z71" s="4"/>
    </row>
    <row r="72" spans="1:26" x14ac:dyDescent="0.25">
      <c r="A72" s="19" t="s">
        <v>70</v>
      </c>
      <c r="B72" s="20">
        <v>3.3</v>
      </c>
      <c r="C72" s="20">
        <v>8.1</v>
      </c>
      <c r="D72" s="20">
        <v>70.400000000000006</v>
      </c>
      <c r="E72" s="20">
        <v>40</v>
      </c>
      <c r="F72" s="20">
        <v>20.8</v>
      </c>
      <c r="G72" s="15" t="str">
        <f t="shared" si="4"/>
        <v>Pass</v>
      </c>
      <c r="H72" s="13"/>
      <c r="I72" t="str">
        <f t="shared" si="5"/>
        <v>Fail</v>
      </c>
      <c r="J72">
        <f>INDEX(C:C,MATCH(A71,A:A,0))</f>
        <v>4</v>
      </c>
      <c r="Z72" s="5"/>
    </row>
    <row r="73" spans="1:26" x14ac:dyDescent="0.25">
      <c r="A73" s="21" t="s">
        <v>71</v>
      </c>
      <c r="B73" s="22">
        <v>11.4</v>
      </c>
      <c r="C73" s="22">
        <v>5.5</v>
      </c>
      <c r="D73" s="22">
        <v>77.099999999999994</v>
      </c>
      <c r="E73" s="22">
        <v>85</v>
      </c>
      <c r="F73" s="22">
        <v>47.9</v>
      </c>
      <c r="G73" s="15" t="str">
        <f t="shared" si="4"/>
        <v>Pass</v>
      </c>
      <c r="H73" s="13"/>
      <c r="I73" t="str">
        <f t="shared" si="5"/>
        <v>Fail</v>
      </c>
      <c r="J73">
        <f>INDEX(C:C,MATCH(A72,A:A,0))</f>
        <v>8.1</v>
      </c>
      <c r="Z73" s="4"/>
    </row>
    <row r="74" spans="1:26" x14ac:dyDescent="0.25">
      <c r="A74" s="19" t="s">
        <v>72</v>
      </c>
      <c r="B74" s="20">
        <v>10.6</v>
      </c>
      <c r="C74" s="20">
        <v>7.3</v>
      </c>
      <c r="D74" s="20">
        <v>70.8</v>
      </c>
      <c r="E74" s="20">
        <v>74</v>
      </c>
      <c r="F74" s="20">
        <v>41.9</v>
      </c>
      <c r="G74" s="15" t="str">
        <f t="shared" si="4"/>
        <v>Pass</v>
      </c>
      <c r="H74" s="13"/>
      <c r="I74" t="str">
        <f t="shared" si="5"/>
        <v>Pass</v>
      </c>
      <c r="J74">
        <f>INDEX(C:C,MATCH(A73,A:A,0))</f>
        <v>5.5</v>
      </c>
      <c r="Z74" s="5"/>
    </row>
    <row r="75" spans="1:26" x14ac:dyDescent="0.25">
      <c r="A75" s="21" t="s">
        <v>73</v>
      </c>
      <c r="B75" s="22">
        <v>4.5</v>
      </c>
      <c r="C75" s="22">
        <v>8.6999999999999993</v>
      </c>
      <c r="D75" s="22">
        <v>60.3</v>
      </c>
      <c r="E75" s="22">
        <v>48</v>
      </c>
      <c r="F75" s="22">
        <v>29.5</v>
      </c>
      <c r="G75" s="15" t="str">
        <f t="shared" si="4"/>
        <v>Pass</v>
      </c>
      <c r="H75" s="13"/>
      <c r="I75" t="str">
        <f t="shared" si="5"/>
        <v>Pass</v>
      </c>
      <c r="J75">
        <f>INDEX(C:C,MATCH(A74,A:A,0))</f>
        <v>7.3</v>
      </c>
      <c r="Z75" s="4"/>
    </row>
    <row r="76" spans="1:26" x14ac:dyDescent="0.25">
      <c r="A76" s="19" t="s">
        <v>74</v>
      </c>
      <c r="B76" s="20">
        <v>8.1999999999999993</v>
      </c>
      <c r="C76" s="20">
        <v>4.7</v>
      </c>
      <c r="D76" s="20">
        <v>71</v>
      </c>
      <c r="E76" s="20">
        <v>57</v>
      </c>
      <c r="F76" s="20">
        <v>33.5</v>
      </c>
      <c r="G76" s="15" t="str">
        <f t="shared" si="4"/>
        <v>Pass</v>
      </c>
      <c r="H76" s="13"/>
      <c r="I76" t="str">
        <f t="shared" si="5"/>
        <v>Fail</v>
      </c>
      <c r="J76">
        <f>INDEX(C:C,MATCH(A75,A:A,0))</f>
        <v>8.6999999999999993</v>
      </c>
      <c r="Z76" s="5"/>
    </row>
    <row r="77" spans="1:26" x14ac:dyDescent="0.25">
      <c r="A77" s="21" t="s">
        <v>75</v>
      </c>
      <c r="B77" s="22">
        <v>5.4</v>
      </c>
      <c r="C77" s="22">
        <v>4.5999999999999996</v>
      </c>
      <c r="D77" s="22">
        <v>95.2</v>
      </c>
      <c r="E77" s="22">
        <v>42</v>
      </c>
      <c r="F77" s="22">
        <v>26.3</v>
      </c>
      <c r="G77" s="15" t="str">
        <f t="shared" si="4"/>
        <v>Pass</v>
      </c>
      <c r="H77" s="13"/>
      <c r="I77" t="str">
        <f t="shared" si="5"/>
        <v>Pass</v>
      </c>
      <c r="J77">
        <f>INDEX(C:C,MATCH(A76,A:A,0))</f>
        <v>4.7</v>
      </c>
      <c r="Z77" s="4"/>
    </row>
    <row r="78" spans="1:26" x14ac:dyDescent="0.25">
      <c r="A78" s="19" t="s">
        <v>76</v>
      </c>
      <c r="B78" s="20">
        <v>11.1</v>
      </c>
      <c r="C78" s="20">
        <v>4.5</v>
      </c>
      <c r="D78" s="20">
        <v>79.2</v>
      </c>
      <c r="E78" s="20">
        <v>43</v>
      </c>
      <c r="F78" s="20">
        <v>39.9</v>
      </c>
      <c r="G78" s="15" t="str">
        <f t="shared" si="4"/>
        <v>Pass</v>
      </c>
      <c r="H78" s="13"/>
      <c r="I78" t="str">
        <f t="shared" si="5"/>
        <v>Fail</v>
      </c>
      <c r="J78">
        <f>INDEX(C:C,MATCH(A77,A:A,0))</f>
        <v>4.5999999999999996</v>
      </c>
      <c r="Z78" s="5"/>
    </row>
    <row r="79" spans="1:26" x14ac:dyDescent="0.25">
      <c r="A79" s="21" t="s">
        <v>77</v>
      </c>
      <c r="B79" s="22">
        <v>6</v>
      </c>
      <c r="C79" s="22">
        <v>6.8</v>
      </c>
      <c r="D79" s="22">
        <v>84.8</v>
      </c>
      <c r="E79" s="22">
        <v>75</v>
      </c>
      <c r="F79" s="22">
        <v>40.299999999999997</v>
      </c>
      <c r="G79" s="15" t="str">
        <f t="shared" si="4"/>
        <v>Pass</v>
      </c>
      <c r="H79" s="13"/>
      <c r="I79" t="str">
        <f t="shared" si="5"/>
        <v>Pass</v>
      </c>
      <c r="J79">
        <f>INDEX(C:C,MATCH(A78,A:A,0))</f>
        <v>4.5</v>
      </c>
      <c r="Z79" s="4"/>
    </row>
    <row r="80" spans="1:26" x14ac:dyDescent="0.25">
      <c r="A80" s="19" t="s">
        <v>78</v>
      </c>
      <c r="B80" s="20">
        <v>3.9</v>
      </c>
      <c r="C80" s="20">
        <v>5.4</v>
      </c>
      <c r="D80" s="20">
        <v>92.8</v>
      </c>
      <c r="E80" s="20">
        <v>58</v>
      </c>
      <c r="F80" s="20">
        <v>26.5</v>
      </c>
      <c r="G80" s="15" t="str">
        <f t="shared" si="4"/>
        <v>Pass</v>
      </c>
      <c r="H80" s="13"/>
      <c r="I80" t="str">
        <f t="shared" si="5"/>
        <v>Pass</v>
      </c>
      <c r="J80">
        <f>INDEX(C:C,MATCH(A79,A:A,0))</f>
        <v>6.8</v>
      </c>
      <c r="Z80" s="5"/>
    </row>
    <row r="81" spans="1:26" x14ac:dyDescent="0.25">
      <c r="A81" s="21" t="s">
        <v>79</v>
      </c>
      <c r="B81" s="22">
        <v>3.7</v>
      </c>
      <c r="C81" s="22">
        <v>7</v>
      </c>
      <c r="D81" s="22">
        <v>88.3</v>
      </c>
      <c r="E81" s="22">
        <v>84</v>
      </c>
      <c r="F81" s="22">
        <v>34.200000000000003</v>
      </c>
      <c r="G81" s="15" t="str">
        <f t="shared" si="4"/>
        <v>Pass</v>
      </c>
      <c r="H81" s="13"/>
      <c r="I81" t="str">
        <f t="shared" si="5"/>
        <v>Fail</v>
      </c>
      <c r="J81">
        <f>INDEX(C:C,MATCH(A80,A:A,0))</f>
        <v>5.4</v>
      </c>
      <c r="Z81" s="4"/>
    </row>
    <row r="82" spans="1:26" x14ac:dyDescent="0.25">
      <c r="A82" s="19" t="s">
        <v>80</v>
      </c>
      <c r="B82" s="20">
        <v>7.2</v>
      </c>
      <c r="C82" s="20">
        <v>7.6</v>
      </c>
      <c r="D82" s="20">
        <v>69</v>
      </c>
      <c r="E82" s="20">
        <v>48</v>
      </c>
      <c r="F82" s="20">
        <v>30.8</v>
      </c>
      <c r="G82" s="15" t="str">
        <f t="shared" si="4"/>
        <v>Pass</v>
      </c>
      <c r="H82" s="13"/>
      <c r="I82" t="str">
        <f t="shared" si="5"/>
        <v>Pass</v>
      </c>
      <c r="J82">
        <f>INDEX(C:C,MATCH(A81,A:A,0))</f>
        <v>7</v>
      </c>
      <c r="Z82" s="5"/>
    </row>
    <row r="83" spans="1:26" x14ac:dyDescent="0.25">
      <c r="A83" s="21" t="s">
        <v>81</v>
      </c>
      <c r="B83" s="22">
        <v>3.9</v>
      </c>
      <c r="C83" s="22">
        <v>5</v>
      </c>
      <c r="D83" s="22">
        <v>50.3</v>
      </c>
      <c r="E83" s="22">
        <v>80</v>
      </c>
      <c r="F83" s="22">
        <v>32.4</v>
      </c>
      <c r="G83" s="15" t="str">
        <f t="shared" si="4"/>
        <v>Pass</v>
      </c>
      <c r="H83" s="13"/>
      <c r="I83" t="str">
        <f t="shared" si="5"/>
        <v>Pass</v>
      </c>
      <c r="J83">
        <f>INDEX(C:C,MATCH(A82,A:A,0))</f>
        <v>7.6</v>
      </c>
      <c r="Z83" s="4"/>
    </row>
    <row r="84" spans="1:26" x14ac:dyDescent="0.25">
      <c r="A84" s="19" t="s">
        <v>82</v>
      </c>
      <c r="B84" s="20">
        <v>7.4</v>
      </c>
      <c r="C84" s="20">
        <v>7.2</v>
      </c>
      <c r="D84" s="20">
        <v>67.599999999999994</v>
      </c>
      <c r="E84" s="20">
        <v>95</v>
      </c>
      <c r="F84" s="20">
        <v>39.799999999999997</v>
      </c>
      <c r="G84" s="15" t="str">
        <f t="shared" si="4"/>
        <v>Pass</v>
      </c>
      <c r="H84" s="13"/>
      <c r="I84" t="str">
        <f t="shared" si="5"/>
        <v>Pass</v>
      </c>
      <c r="J84">
        <f>INDEX(C:C,MATCH(A83,A:A,0))</f>
        <v>5</v>
      </c>
      <c r="Z84" s="5"/>
    </row>
    <row r="85" spans="1:26" x14ac:dyDescent="0.25">
      <c r="A85" s="21" t="s">
        <v>83</v>
      </c>
      <c r="B85" s="22">
        <v>10.9</v>
      </c>
      <c r="C85" s="22">
        <v>5.3</v>
      </c>
      <c r="D85" s="22">
        <v>87.7</v>
      </c>
      <c r="E85" s="22">
        <v>88</v>
      </c>
      <c r="F85" s="22">
        <v>48.9</v>
      </c>
      <c r="G85" s="15" t="str">
        <f t="shared" si="4"/>
        <v>Pass</v>
      </c>
      <c r="H85" s="13"/>
      <c r="I85" t="str">
        <f t="shared" si="5"/>
        <v>Pass</v>
      </c>
      <c r="J85">
        <f>INDEX(C:C,MATCH(A84,A:A,0))</f>
        <v>7.2</v>
      </c>
      <c r="Z85" s="4"/>
    </row>
    <row r="86" spans="1:26" x14ac:dyDescent="0.25">
      <c r="A86" s="19" t="s">
        <v>84</v>
      </c>
      <c r="B86" s="20">
        <v>5.4</v>
      </c>
      <c r="C86" s="20">
        <v>6.4</v>
      </c>
      <c r="D86" s="20">
        <v>92.7</v>
      </c>
      <c r="E86" s="20">
        <v>71</v>
      </c>
      <c r="F86" s="20">
        <v>38</v>
      </c>
      <c r="G86" s="15" t="str">
        <f t="shared" si="4"/>
        <v>Pass</v>
      </c>
      <c r="H86" s="13"/>
      <c r="I86" t="str">
        <f t="shared" si="5"/>
        <v>Pass</v>
      </c>
      <c r="J86">
        <f>INDEX(C:C,MATCH(A85,A:A,0))</f>
        <v>5.3</v>
      </c>
      <c r="Z86" s="5"/>
    </row>
    <row r="87" spans="1:26" x14ac:dyDescent="0.25">
      <c r="A87" s="21" t="s">
        <v>85</v>
      </c>
      <c r="B87" s="22">
        <v>3.4</v>
      </c>
      <c r="C87" s="22">
        <v>8.5</v>
      </c>
      <c r="D87" s="22">
        <v>97.7</v>
      </c>
      <c r="E87" s="22">
        <v>46</v>
      </c>
      <c r="F87" s="22">
        <v>26.5</v>
      </c>
      <c r="G87" s="15" t="str">
        <f t="shared" si="4"/>
        <v>Pass</v>
      </c>
      <c r="H87" s="13"/>
      <c r="I87" t="str">
        <f t="shared" si="5"/>
        <v>Pass</v>
      </c>
      <c r="J87">
        <f>INDEX(C:C,MATCH(A86,A:A,0))</f>
        <v>6.4</v>
      </c>
      <c r="Z87" s="4"/>
    </row>
    <row r="88" spans="1:26" x14ac:dyDescent="0.25">
      <c r="A88" s="19" t="s">
        <v>86</v>
      </c>
      <c r="B88" s="20">
        <v>12</v>
      </c>
      <c r="C88" s="20">
        <v>8.1999999999999993</v>
      </c>
      <c r="D88" s="20">
        <v>71</v>
      </c>
      <c r="E88" s="20">
        <v>95</v>
      </c>
      <c r="F88" s="20">
        <v>51.3</v>
      </c>
      <c r="G88" s="15" t="str">
        <f t="shared" si="4"/>
        <v>Pass</v>
      </c>
      <c r="H88" s="13"/>
      <c r="I88" t="str">
        <f t="shared" si="5"/>
        <v>Fail</v>
      </c>
      <c r="J88">
        <f>INDEX(C:C,MATCH(A87,A:A,0))</f>
        <v>8.5</v>
      </c>
      <c r="Z88" s="5"/>
    </row>
    <row r="89" spans="1:26" x14ac:dyDescent="0.25">
      <c r="A89" s="21" t="s">
        <v>87</v>
      </c>
      <c r="B89" s="22">
        <v>6.6</v>
      </c>
      <c r="C89" s="22">
        <v>4.5</v>
      </c>
      <c r="D89" s="22">
        <v>87.4</v>
      </c>
      <c r="E89" s="22">
        <v>40</v>
      </c>
      <c r="F89" s="22">
        <v>28.6</v>
      </c>
      <c r="G89" s="15" t="str">
        <f t="shared" si="4"/>
        <v>Pass</v>
      </c>
      <c r="H89" s="13"/>
      <c r="I89" t="str">
        <f t="shared" si="5"/>
        <v>Pass</v>
      </c>
      <c r="J89">
        <f>INDEX(C:C,MATCH(A88,A:A,0))</f>
        <v>8.1999999999999993</v>
      </c>
      <c r="Z89" s="4"/>
    </row>
    <row r="90" spans="1:26" x14ac:dyDescent="0.25">
      <c r="A90" s="19" t="s">
        <v>88</v>
      </c>
      <c r="B90" s="20">
        <v>2</v>
      </c>
      <c r="C90" s="20">
        <v>6.1</v>
      </c>
      <c r="D90" s="20">
        <v>77.3</v>
      </c>
      <c r="E90" s="20">
        <v>76</v>
      </c>
      <c r="F90" s="20">
        <v>32.1</v>
      </c>
      <c r="G90" s="15" t="str">
        <f t="shared" si="4"/>
        <v>Pass</v>
      </c>
      <c r="H90" s="13"/>
      <c r="I90" t="str">
        <f t="shared" si="5"/>
        <v>Fail</v>
      </c>
      <c r="J90">
        <f>INDEX(C:C,MATCH(A89,A:A,0))</f>
        <v>4.5</v>
      </c>
      <c r="Z90" s="5"/>
    </row>
    <row r="91" spans="1:26" x14ac:dyDescent="0.25">
      <c r="A91" s="21" t="s">
        <v>89</v>
      </c>
      <c r="B91" s="22">
        <v>1.5</v>
      </c>
      <c r="C91" s="22">
        <v>5.4</v>
      </c>
      <c r="D91" s="22">
        <v>80.2</v>
      </c>
      <c r="E91" s="22">
        <v>58</v>
      </c>
      <c r="F91" s="22">
        <v>23.9</v>
      </c>
      <c r="G91" s="15" t="str">
        <f t="shared" si="4"/>
        <v>Pass</v>
      </c>
      <c r="H91" s="13"/>
      <c r="I91" t="str">
        <f t="shared" si="5"/>
        <v>Pass</v>
      </c>
      <c r="J91">
        <f>INDEX(C:C,MATCH(A90,A:A,0))</f>
        <v>6.1</v>
      </c>
      <c r="Z91" s="4"/>
    </row>
    <row r="92" spans="1:26" x14ac:dyDescent="0.25">
      <c r="A92" s="19" t="s">
        <v>90</v>
      </c>
      <c r="B92" s="20">
        <v>2.2000000000000002</v>
      </c>
      <c r="C92" s="20">
        <v>4</v>
      </c>
      <c r="D92" s="20">
        <v>61</v>
      </c>
      <c r="E92" s="20">
        <v>70</v>
      </c>
      <c r="F92" s="20">
        <v>27.3</v>
      </c>
      <c r="G92" s="15" t="str">
        <f t="shared" si="4"/>
        <v>Pass</v>
      </c>
      <c r="H92" s="13"/>
      <c r="I92" t="str">
        <f t="shared" si="5"/>
        <v>Fail</v>
      </c>
      <c r="J92">
        <f>INDEX(C:C,MATCH(A91,A:A,0))</f>
        <v>5.4</v>
      </c>
      <c r="Z92" s="5"/>
    </row>
    <row r="93" spans="1:26" x14ac:dyDescent="0.25">
      <c r="A93" s="21" t="s">
        <v>91</v>
      </c>
      <c r="B93" s="22">
        <v>7.9</v>
      </c>
      <c r="C93" s="22">
        <v>7.9</v>
      </c>
      <c r="D93" s="22">
        <v>61</v>
      </c>
      <c r="E93" s="22">
        <v>70</v>
      </c>
      <c r="F93" s="22">
        <v>34</v>
      </c>
      <c r="G93" s="15" t="str">
        <f t="shared" si="4"/>
        <v>Pass</v>
      </c>
      <c r="H93" s="13"/>
      <c r="I93" t="str">
        <f t="shared" si="5"/>
        <v>Fail</v>
      </c>
      <c r="J93">
        <f>INDEX(C:C,MATCH(A92,A:A,0))</f>
        <v>4</v>
      </c>
      <c r="Z93" s="4"/>
    </row>
    <row r="94" spans="1:26" x14ac:dyDescent="0.25">
      <c r="A94" s="19" t="s">
        <v>92</v>
      </c>
      <c r="B94" s="20">
        <v>9.6999999999999993</v>
      </c>
      <c r="C94" s="20">
        <v>7.2</v>
      </c>
      <c r="D94" s="20">
        <v>71.8</v>
      </c>
      <c r="E94" s="20">
        <v>68</v>
      </c>
      <c r="F94" s="20">
        <v>37.5</v>
      </c>
      <c r="G94" s="15" t="str">
        <f t="shared" si="4"/>
        <v>Pass</v>
      </c>
      <c r="H94" s="13"/>
      <c r="I94" t="str">
        <f t="shared" si="5"/>
        <v>Pass</v>
      </c>
      <c r="J94">
        <f>INDEX(C:C,MATCH(A93,A:A,0))</f>
        <v>7.9</v>
      </c>
      <c r="Z94" s="5"/>
    </row>
    <row r="95" spans="1:26" x14ac:dyDescent="0.25">
      <c r="A95" s="21" t="s">
        <v>93</v>
      </c>
      <c r="B95" s="22">
        <v>5.6</v>
      </c>
      <c r="C95" s="22">
        <v>5.3</v>
      </c>
      <c r="D95" s="22">
        <v>51.5</v>
      </c>
      <c r="E95" s="22">
        <v>61</v>
      </c>
      <c r="F95" s="22">
        <v>29.1</v>
      </c>
      <c r="G95" s="15" t="str">
        <f t="shared" si="4"/>
        <v>Pass</v>
      </c>
      <c r="H95" s="13"/>
      <c r="I95" t="str">
        <f t="shared" si="5"/>
        <v>Pass</v>
      </c>
      <c r="J95">
        <f>INDEX(C:C,MATCH(A94,A:A,0))</f>
        <v>7.2</v>
      </c>
      <c r="Z95" s="4"/>
    </row>
    <row r="96" spans="1:26" x14ac:dyDescent="0.25">
      <c r="A96" s="19" t="s">
        <v>94</v>
      </c>
      <c r="B96" s="20">
        <v>1.7</v>
      </c>
      <c r="C96" s="20">
        <v>7.7</v>
      </c>
      <c r="D96" s="20">
        <v>66.8</v>
      </c>
      <c r="E96" s="20">
        <v>51</v>
      </c>
      <c r="F96" s="20">
        <v>28.1</v>
      </c>
      <c r="G96" s="15" t="str">
        <f t="shared" si="4"/>
        <v>Pass</v>
      </c>
      <c r="H96" s="13"/>
      <c r="I96" t="str">
        <f t="shared" si="5"/>
        <v>Fail</v>
      </c>
      <c r="J96">
        <f>INDEX(C:C,MATCH(A95,A:A,0))</f>
        <v>5.3</v>
      </c>
      <c r="Z96" s="5"/>
    </row>
    <row r="97" spans="1:26" x14ac:dyDescent="0.25">
      <c r="A97" s="21" t="s">
        <v>95</v>
      </c>
      <c r="B97" s="22">
        <v>5.2</v>
      </c>
      <c r="C97" s="22">
        <v>6.8</v>
      </c>
      <c r="D97" s="22">
        <v>84</v>
      </c>
      <c r="E97" s="22">
        <v>43</v>
      </c>
      <c r="F97" s="22">
        <v>28.7</v>
      </c>
      <c r="G97" s="15" t="str">
        <f t="shared" si="4"/>
        <v>Pass</v>
      </c>
      <c r="H97" s="13"/>
      <c r="I97" t="str">
        <f t="shared" si="5"/>
        <v>Fail</v>
      </c>
      <c r="J97">
        <f>INDEX(C:C,MATCH(A96,A:A,0))</f>
        <v>7.7</v>
      </c>
      <c r="Z97" s="4"/>
    </row>
    <row r="98" spans="1:26" x14ac:dyDescent="0.25">
      <c r="A98" s="19" t="s">
        <v>96</v>
      </c>
      <c r="B98" s="20">
        <v>12</v>
      </c>
      <c r="C98" s="20">
        <v>6.1</v>
      </c>
      <c r="D98" s="20">
        <v>70.2</v>
      </c>
      <c r="E98" s="20">
        <v>56</v>
      </c>
      <c r="F98" s="20">
        <v>36.9</v>
      </c>
      <c r="G98" s="15" t="str">
        <f t="shared" ref="G98:G129" si="6">IF(E97&gt;=30,"Pass","Fail")</f>
        <v>Pass</v>
      </c>
      <c r="H98" s="13"/>
      <c r="I98" t="str">
        <f t="shared" si="5"/>
        <v>Fail</v>
      </c>
      <c r="J98">
        <f>INDEX(C:C,MATCH(A97,A:A,0))</f>
        <v>6.8</v>
      </c>
      <c r="Z98" s="5"/>
    </row>
    <row r="99" spans="1:26" x14ac:dyDescent="0.25">
      <c r="A99" s="21" t="s">
        <v>97</v>
      </c>
      <c r="B99" s="22">
        <v>6.8</v>
      </c>
      <c r="C99" s="22">
        <v>4</v>
      </c>
      <c r="D99" s="22">
        <v>58.3</v>
      </c>
      <c r="E99" s="22">
        <v>95</v>
      </c>
      <c r="F99" s="22">
        <v>36</v>
      </c>
      <c r="G99" s="15" t="str">
        <f t="shared" si="6"/>
        <v>Pass</v>
      </c>
      <c r="H99" s="13"/>
      <c r="I99" t="str">
        <f t="shared" ref="I99:I130" si="7">IF(F98&gt;=30,"Pass","Fail")</f>
        <v>Pass</v>
      </c>
      <c r="J99">
        <f>INDEX(C:C,MATCH(A98,A:A,0))</f>
        <v>6.1</v>
      </c>
      <c r="Z99" s="4"/>
    </row>
    <row r="100" spans="1:26" x14ac:dyDescent="0.25">
      <c r="A100" s="19" t="s">
        <v>98</v>
      </c>
      <c r="B100" s="20">
        <v>11.7</v>
      </c>
      <c r="C100" s="20">
        <v>4.4000000000000004</v>
      </c>
      <c r="D100" s="20">
        <v>73.400000000000006</v>
      </c>
      <c r="E100" s="20">
        <v>70</v>
      </c>
      <c r="F100" s="20">
        <v>39.9</v>
      </c>
      <c r="G100" s="15" t="str">
        <f t="shared" si="6"/>
        <v>Pass</v>
      </c>
      <c r="H100" s="13"/>
      <c r="I100" t="str">
        <f t="shared" si="7"/>
        <v>Pass</v>
      </c>
      <c r="J100">
        <f>INDEX(C:C,MATCH(A99,A:A,0))</f>
        <v>4</v>
      </c>
      <c r="Z100" s="5"/>
    </row>
    <row r="101" spans="1:26" x14ac:dyDescent="0.25">
      <c r="A101" s="21" t="s">
        <v>99</v>
      </c>
      <c r="B101" s="22">
        <v>10.5</v>
      </c>
      <c r="C101" s="22">
        <v>8.4</v>
      </c>
      <c r="D101" s="22">
        <v>56.4</v>
      </c>
      <c r="E101" s="22">
        <v>47</v>
      </c>
      <c r="F101" s="22">
        <v>37.1</v>
      </c>
      <c r="G101" s="15" t="str">
        <f t="shared" si="6"/>
        <v>Pass</v>
      </c>
      <c r="H101" s="13"/>
      <c r="I101" t="str">
        <f t="shared" si="7"/>
        <v>Pass</v>
      </c>
      <c r="J101">
        <f>INDEX(C:C,MATCH(A100,A:A,0))</f>
        <v>4.4000000000000004</v>
      </c>
      <c r="Z101" s="4"/>
    </row>
    <row r="102" spans="1:26" x14ac:dyDescent="0.25">
      <c r="A102" s="19" t="s">
        <v>100</v>
      </c>
      <c r="B102" s="20">
        <v>1.1000000000000001</v>
      </c>
      <c r="C102" s="20">
        <v>8.5</v>
      </c>
      <c r="D102" s="20">
        <v>81.099999999999994</v>
      </c>
      <c r="E102" s="20">
        <v>92</v>
      </c>
      <c r="F102" s="20">
        <v>31.4</v>
      </c>
      <c r="G102" s="15" t="str">
        <f t="shared" si="6"/>
        <v>Pass</v>
      </c>
      <c r="H102" s="13"/>
      <c r="I102" t="str">
        <f t="shared" si="7"/>
        <v>Pass</v>
      </c>
      <c r="J102">
        <f>INDEX(C:C,MATCH(A101,A:A,0))</f>
        <v>8.4</v>
      </c>
      <c r="Z102" s="5"/>
    </row>
    <row r="103" spans="1:26" x14ac:dyDescent="0.25">
      <c r="A103" s="21" t="s">
        <v>101</v>
      </c>
      <c r="B103" s="22">
        <v>8.9</v>
      </c>
      <c r="C103" s="22">
        <v>6.7</v>
      </c>
      <c r="D103" s="22">
        <v>51.3</v>
      </c>
      <c r="E103" s="22">
        <v>44</v>
      </c>
      <c r="F103" s="22">
        <v>31.3</v>
      </c>
      <c r="G103" s="15" t="str">
        <f t="shared" si="6"/>
        <v>Pass</v>
      </c>
      <c r="H103" s="13"/>
      <c r="I103" t="str">
        <f t="shared" si="7"/>
        <v>Pass</v>
      </c>
      <c r="J103">
        <f>INDEX(C:C,MATCH(A102,A:A,0))</f>
        <v>8.5</v>
      </c>
      <c r="Z103" s="4"/>
    </row>
    <row r="104" spans="1:26" x14ac:dyDescent="0.25">
      <c r="A104" s="19" t="s">
        <v>102</v>
      </c>
      <c r="B104" s="20">
        <v>8.5</v>
      </c>
      <c r="C104" s="20">
        <v>8.1999999999999993</v>
      </c>
      <c r="D104" s="20">
        <v>69.7</v>
      </c>
      <c r="E104" s="20">
        <v>65</v>
      </c>
      <c r="F104" s="20">
        <v>35.700000000000003</v>
      </c>
      <c r="G104" s="15" t="str">
        <f t="shared" si="6"/>
        <v>Pass</v>
      </c>
      <c r="H104" s="13"/>
      <c r="I104" t="str">
        <f t="shared" si="7"/>
        <v>Pass</v>
      </c>
      <c r="J104">
        <f>INDEX(C:C,MATCH(A103,A:A,0))</f>
        <v>6.7</v>
      </c>
      <c r="Z104" s="5"/>
    </row>
    <row r="105" spans="1:26" x14ac:dyDescent="0.25">
      <c r="A105" s="21" t="s">
        <v>103</v>
      </c>
      <c r="B105" s="22">
        <v>6.9</v>
      </c>
      <c r="C105" s="22">
        <v>6.9</v>
      </c>
      <c r="D105" s="22">
        <v>78.2</v>
      </c>
      <c r="E105" s="22">
        <v>71</v>
      </c>
      <c r="F105" s="22">
        <v>32.6</v>
      </c>
      <c r="G105" s="15" t="str">
        <f t="shared" si="6"/>
        <v>Pass</v>
      </c>
      <c r="H105" s="13"/>
      <c r="I105" t="str">
        <f t="shared" si="7"/>
        <v>Pass</v>
      </c>
      <c r="J105">
        <f>INDEX(C:C,MATCH(A104,A:A,0))</f>
        <v>8.1999999999999993</v>
      </c>
      <c r="Z105" s="4"/>
    </row>
    <row r="106" spans="1:26" x14ac:dyDescent="0.25">
      <c r="A106" s="19" t="s">
        <v>104</v>
      </c>
      <c r="B106" s="20">
        <v>3.9</v>
      </c>
      <c r="C106" s="20">
        <v>4.7</v>
      </c>
      <c r="D106" s="20">
        <v>51.4</v>
      </c>
      <c r="E106" s="20">
        <v>44</v>
      </c>
      <c r="F106" s="20">
        <v>24.1</v>
      </c>
      <c r="G106" s="15" t="str">
        <f t="shared" si="6"/>
        <v>Pass</v>
      </c>
      <c r="H106" s="13"/>
      <c r="I106" t="str">
        <f t="shared" si="7"/>
        <v>Pass</v>
      </c>
      <c r="J106">
        <f>INDEX(C:C,MATCH(A105,A:A,0))</f>
        <v>6.9</v>
      </c>
      <c r="Z106" s="5"/>
    </row>
    <row r="107" spans="1:26" x14ac:dyDescent="0.25">
      <c r="A107" s="21" t="s">
        <v>105</v>
      </c>
      <c r="B107" s="22">
        <v>8.1</v>
      </c>
      <c r="C107" s="22">
        <v>4.5999999999999996</v>
      </c>
      <c r="D107" s="22">
        <v>82.1</v>
      </c>
      <c r="E107" s="22">
        <v>76</v>
      </c>
      <c r="F107" s="22">
        <v>38.200000000000003</v>
      </c>
      <c r="G107" s="15" t="str">
        <f t="shared" si="6"/>
        <v>Pass</v>
      </c>
      <c r="H107" s="13"/>
      <c r="I107" t="str">
        <f t="shared" si="7"/>
        <v>Fail</v>
      </c>
      <c r="J107">
        <f>INDEX(C:C,MATCH(A106,A:A,0))</f>
        <v>4.7</v>
      </c>
      <c r="Z107" s="4"/>
    </row>
    <row r="108" spans="1:26" x14ac:dyDescent="0.25">
      <c r="A108" s="19" t="s">
        <v>106</v>
      </c>
      <c r="B108" s="20">
        <v>2.2000000000000002</v>
      </c>
      <c r="C108" s="20">
        <v>5.5</v>
      </c>
      <c r="D108" s="20">
        <v>56.8</v>
      </c>
      <c r="E108" s="20">
        <v>80</v>
      </c>
      <c r="F108" s="20">
        <v>23.7</v>
      </c>
      <c r="G108" s="15" t="str">
        <f t="shared" si="6"/>
        <v>Pass</v>
      </c>
      <c r="H108" s="13"/>
      <c r="I108" t="str">
        <f t="shared" si="7"/>
        <v>Pass</v>
      </c>
      <c r="J108">
        <f>INDEX(C:C,MATCH(A107,A:A,0))</f>
        <v>4.5999999999999996</v>
      </c>
      <c r="Z108" s="5"/>
    </row>
    <row r="109" spans="1:26" x14ac:dyDescent="0.25">
      <c r="A109" s="21" t="s">
        <v>107</v>
      </c>
      <c r="B109" s="22">
        <v>5.8</v>
      </c>
      <c r="C109" s="22">
        <v>8.5</v>
      </c>
      <c r="D109" s="22">
        <v>73.099999999999994</v>
      </c>
      <c r="E109" s="22">
        <v>83</v>
      </c>
      <c r="F109" s="22">
        <v>39.200000000000003</v>
      </c>
      <c r="G109" s="15" t="str">
        <f t="shared" si="6"/>
        <v>Pass</v>
      </c>
      <c r="H109" s="13"/>
      <c r="I109" t="str">
        <f t="shared" si="7"/>
        <v>Fail</v>
      </c>
      <c r="J109">
        <f>INDEX(C:C,MATCH(A108,A:A,0))</f>
        <v>5.5</v>
      </c>
      <c r="Z109" s="4"/>
    </row>
    <row r="110" spans="1:26" x14ac:dyDescent="0.25">
      <c r="A110" s="19" t="s">
        <v>108</v>
      </c>
      <c r="B110" s="20">
        <v>6</v>
      </c>
      <c r="C110" s="20">
        <v>8</v>
      </c>
      <c r="D110" s="20">
        <v>52.5</v>
      </c>
      <c r="E110" s="20">
        <v>43</v>
      </c>
      <c r="F110" s="20">
        <v>23.2</v>
      </c>
      <c r="G110" s="15" t="str">
        <f t="shared" si="6"/>
        <v>Pass</v>
      </c>
      <c r="H110" s="13"/>
      <c r="I110" t="str">
        <f t="shared" si="7"/>
        <v>Pass</v>
      </c>
      <c r="J110">
        <f>INDEX(C:C,MATCH(A109,A:A,0))</f>
        <v>8.5</v>
      </c>
      <c r="Z110" s="5"/>
    </row>
    <row r="111" spans="1:26" x14ac:dyDescent="0.25">
      <c r="A111" s="21" t="s">
        <v>109</v>
      </c>
      <c r="B111" s="22">
        <v>11.5</v>
      </c>
      <c r="C111" s="22">
        <v>8.3000000000000007</v>
      </c>
      <c r="D111" s="22">
        <v>69</v>
      </c>
      <c r="E111" s="22">
        <v>49</v>
      </c>
      <c r="F111" s="22">
        <v>42.2</v>
      </c>
      <c r="G111" s="15" t="str">
        <f t="shared" si="6"/>
        <v>Pass</v>
      </c>
      <c r="H111" s="13"/>
      <c r="I111" t="str">
        <f t="shared" si="7"/>
        <v>Fail</v>
      </c>
      <c r="J111">
        <f>INDEX(C:C,MATCH(A110,A:A,0))</f>
        <v>8</v>
      </c>
      <c r="Z111" s="4"/>
    </row>
    <row r="112" spans="1:26" x14ac:dyDescent="0.25">
      <c r="A112" s="19" t="s">
        <v>110</v>
      </c>
      <c r="B112" s="20">
        <v>10.6</v>
      </c>
      <c r="C112" s="20">
        <v>8.5</v>
      </c>
      <c r="D112" s="20">
        <v>60.6</v>
      </c>
      <c r="E112" s="20">
        <v>49</v>
      </c>
      <c r="F112" s="20">
        <v>39.6</v>
      </c>
      <c r="G112" s="15" t="str">
        <f t="shared" si="6"/>
        <v>Pass</v>
      </c>
      <c r="H112" s="13"/>
      <c r="I112" t="str">
        <f t="shared" si="7"/>
        <v>Pass</v>
      </c>
      <c r="J112">
        <f>INDEX(C:C,MATCH(A111,A:A,0))</f>
        <v>8.3000000000000007</v>
      </c>
      <c r="Z112" s="5"/>
    </row>
    <row r="113" spans="1:26" x14ac:dyDescent="0.25">
      <c r="A113" s="21" t="s">
        <v>111</v>
      </c>
      <c r="B113" s="22">
        <v>3.9</v>
      </c>
      <c r="C113" s="22">
        <v>5.0999999999999996</v>
      </c>
      <c r="D113" s="22">
        <v>66.3</v>
      </c>
      <c r="E113" s="22">
        <v>91</v>
      </c>
      <c r="F113" s="22">
        <v>34.799999999999997</v>
      </c>
      <c r="G113" s="15" t="str">
        <f t="shared" si="6"/>
        <v>Pass</v>
      </c>
      <c r="H113" s="13"/>
      <c r="I113" t="str">
        <f t="shared" si="7"/>
        <v>Pass</v>
      </c>
      <c r="J113">
        <f>INDEX(C:C,MATCH(A112,A:A,0))</f>
        <v>8.5</v>
      </c>
      <c r="Z113" s="4"/>
    </row>
    <row r="114" spans="1:26" x14ac:dyDescent="0.25">
      <c r="A114" s="19" t="s">
        <v>112</v>
      </c>
      <c r="B114" s="20">
        <v>6.5</v>
      </c>
      <c r="C114" s="20">
        <v>5.2</v>
      </c>
      <c r="D114" s="20">
        <v>88.1</v>
      </c>
      <c r="E114" s="20">
        <v>76</v>
      </c>
      <c r="F114" s="20">
        <v>34.6</v>
      </c>
      <c r="G114" s="15" t="str">
        <f t="shared" si="6"/>
        <v>Pass</v>
      </c>
      <c r="H114" s="13"/>
      <c r="I114" t="str">
        <f t="shared" si="7"/>
        <v>Pass</v>
      </c>
      <c r="J114">
        <f>INDEX(C:C,MATCH(A113,A:A,0))</f>
        <v>5.0999999999999996</v>
      </c>
      <c r="Z114" s="5"/>
    </row>
    <row r="115" spans="1:26" x14ac:dyDescent="0.25">
      <c r="A115" s="21" t="s">
        <v>113</v>
      </c>
      <c r="B115" s="22">
        <v>3</v>
      </c>
      <c r="C115" s="22">
        <v>4.5</v>
      </c>
      <c r="D115" s="22">
        <v>69</v>
      </c>
      <c r="E115" s="22">
        <v>59</v>
      </c>
      <c r="F115" s="22">
        <v>26.4</v>
      </c>
      <c r="G115" s="15" t="str">
        <f t="shared" si="6"/>
        <v>Pass</v>
      </c>
      <c r="H115" s="13"/>
      <c r="I115" t="str">
        <f t="shared" si="7"/>
        <v>Pass</v>
      </c>
      <c r="J115">
        <f>INDEX(C:C,MATCH(A114,A:A,0))</f>
        <v>5.2</v>
      </c>
      <c r="Z115" s="4"/>
    </row>
    <row r="116" spans="1:26" x14ac:dyDescent="0.25">
      <c r="A116" s="19" t="s">
        <v>114</v>
      </c>
      <c r="B116" s="20">
        <v>11</v>
      </c>
      <c r="C116" s="20">
        <v>7.9</v>
      </c>
      <c r="D116" s="20">
        <v>87.6</v>
      </c>
      <c r="E116" s="20">
        <v>45</v>
      </c>
      <c r="F116" s="20">
        <v>43.1</v>
      </c>
      <c r="G116" s="15" t="str">
        <f t="shared" si="6"/>
        <v>Pass</v>
      </c>
      <c r="H116" s="13"/>
      <c r="I116" t="str">
        <f t="shared" si="7"/>
        <v>Fail</v>
      </c>
      <c r="J116">
        <f>INDEX(C:C,MATCH(A115,A:A,0))</f>
        <v>4.5</v>
      </c>
      <c r="Z116" s="5"/>
    </row>
    <row r="117" spans="1:26" x14ac:dyDescent="0.25">
      <c r="A117" s="21" t="s">
        <v>115</v>
      </c>
      <c r="B117" s="22">
        <v>10.6</v>
      </c>
      <c r="C117" s="22">
        <v>8.4</v>
      </c>
      <c r="D117" s="22">
        <v>91.6</v>
      </c>
      <c r="E117" s="22">
        <v>55</v>
      </c>
      <c r="F117" s="22">
        <v>46.4</v>
      </c>
      <c r="G117" s="15" t="str">
        <f t="shared" si="6"/>
        <v>Pass</v>
      </c>
      <c r="H117" s="13"/>
      <c r="I117" t="str">
        <f t="shared" si="7"/>
        <v>Pass</v>
      </c>
      <c r="J117">
        <f>INDEX(C:C,MATCH(A116,A:A,0))</f>
        <v>7.9</v>
      </c>
      <c r="Z117" s="4"/>
    </row>
    <row r="118" spans="1:26" x14ac:dyDescent="0.25">
      <c r="A118" s="19" t="s">
        <v>116</v>
      </c>
      <c r="B118" s="20">
        <v>4.3</v>
      </c>
      <c r="C118" s="20">
        <v>6</v>
      </c>
      <c r="D118" s="20">
        <v>62.6</v>
      </c>
      <c r="E118" s="20">
        <v>47</v>
      </c>
      <c r="F118" s="20">
        <v>25.2</v>
      </c>
      <c r="G118" s="15" t="str">
        <f t="shared" si="6"/>
        <v>Pass</v>
      </c>
      <c r="H118" s="13"/>
      <c r="I118" t="str">
        <f t="shared" si="7"/>
        <v>Pass</v>
      </c>
      <c r="J118">
        <f>INDEX(C:C,MATCH(A117,A:A,0))</f>
        <v>8.4</v>
      </c>
      <c r="Z118" s="5"/>
    </row>
    <row r="119" spans="1:26" x14ac:dyDescent="0.25">
      <c r="A119" s="21" t="s">
        <v>117</v>
      </c>
      <c r="B119" s="22">
        <v>8</v>
      </c>
      <c r="C119" s="22">
        <v>7.1</v>
      </c>
      <c r="D119" s="22">
        <v>54.1</v>
      </c>
      <c r="E119" s="22">
        <v>75</v>
      </c>
      <c r="F119" s="22">
        <v>31.3</v>
      </c>
      <c r="G119" s="15" t="str">
        <f t="shared" si="6"/>
        <v>Pass</v>
      </c>
      <c r="H119" s="13"/>
      <c r="I119" t="str">
        <f t="shared" si="7"/>
        <v>Fail</v>
      </c>
      <c r="J119">
        <f>INDEX(C:C,MATCH(A118,A:A,0))</f>
        <v>6</v>
      </c>
      <c r="Z119" s="4"/>
    </row>
    <row r="120" spans="1:26" x14ac:dyDescent="0.25">
      <c r="A120" s="19" t="s">
        <v>118</v>
      </c>
      <c r="B120" s="20">
        <v>7.7</v>
      </c>
      <c r="C120" s="20">
        <v>4.8</v>
      </c>
      <c r="D120" s="20">
        <v>51</v>
      </c>
      <c r="E120" s="20">
        <v>88</v>
      </c>
      <c r="F120" s="20">
        <v>35.799999999999997</v>
      </c>
      <c r="G120" s="15" t="str">
        <f t="shared" si="6"/>
        <v>Pass</v>
      </c>
      <c r="H120" s="13"/>
      <c r="I120" t="str">
        <f t="shared" si="7"/>
        <v>Pass</v>
      </c>
      <c r="J120">
        <f>INDEX(C:C,MATCH(A119,A:A,0))</f>
        <v>7.1</v>
      </c>
      <c r="Z120" s="5"/>
    </row>
    <row r="121" spans="1:26" x14ac:dyDescent="0.25">
      <c r="A121" s="21" t="s">
        <v>119</v>
      </c>
      <c r="B121" s="22">
        <v>2.7</v>
      </c>
      <c r="C121" s="22">
        <v>8.6</v>
      </c>
      <c r="D121" s="22">
        <v>77</v>
      </c>
      <c r="E121" s="22">
        <v>66</v>
      </c>
      <c r="F121" s="22">
        <v>29.8</v>
      </c>
      <c r="G121" s="15" t="str">
        <f t="shared" si="6"/>
        <v>Pass</v>
      </c>
      <c r="H121" s="13"/>
      <c r="I121" t="str">
        <f t="shared" si="7"/>
        <v>Pass</v>
      </c>
      <c r="J121">
        <f>INDEX(C:C,MATCH(A120,A:A,0))</f>
        <v>4.8</v>
      </c>
      <c r="Z121" s="4"/>
    </row>
    <row r="122" spans="1:26" x14ac:dyDescent="0.25">
      <c r="A122" s="19" t="s">
        <v>120</v>
      </c>
      <c r="B122" s="20">
        <v>9.4</v>
      </c>
      <c r="C122" s="20">
        <v>8.3000000000000007</v>
      </c>
      <c r="D122" s="20">
        <v>100</v>
      </c>
      <c r="E122" s="20">
        <v>78</v>
      </c>
      <c r="F122" s="20">
        <v>47.9</v>
      </c>
      <c r="G122" s="15" t="str">
        <f t="shared" si="6"/>
        <v>Pass</v>
      </c>
      <c r="H122" s="13"/>
      <c r="I122" t="str">
        <f t="shared" si="7"/>
        <v>Fail</v>
      </c>
      <c r="J122">
        <f>INDEX(C:C,MATCH(A121,A:A,0))</f>
        <v>8.6</v>
      </c>
      <c r="Z122" s="5"/>
    </row>
    <row r="123" spans="1:26" x14ac:dyDescent="0.25">
      <c r="A123" s="21" t="s">
        <v>121</v>
      </c>
      <c r="B123" s="22">
        <v>6.9</v>
      </c>
      <c r="C123" s="22">
        <v>8.9</v>
      </c>
      <c r="D123" s="22">
        <v>67.5</v>
      </c>
      <c r="E123" s="22">
        <v>78</v>
      </c>
      <c r="F123" s="22">
        <v>40.9</v>
      </c>
      <c r="G123" s="15" t="str">
        <f t="shared" si="6"/>
        <v>Pass</v>
      </c>
      <c r="H123" s="13"/>
      <c r="I123" t="str">
        <f t="shared" si="7"/>
        <v>Pass</v>
      </c>
      <c r="J123">
        <f>INDEX(C:C,MATCH(A122,A:A,0))</f>
        <v>8.3000000000000007</v>
      </c>
      <c r="Z123" s="4"/>
    </row>
    <row r="124" spans="1:26" x14ac:dyDescent="0.25">
      <c r="A124" s="19" t="s">
        <v>122</v>
      </c>
      <c r="B124" s="20">
        <v>9.6</v>
      </c>
      <c r="C124" s="20">
        <v>8.1</v>
      </c>
      <c r="D124" s="20">
        <v>82.5</v>
      </c>
      <c r="E124" s="20">
        <v>90</v>
      </c>
      <c r="F124" s="20">
        <v>44.1</v>
      </c>
      <c r="G124" s="15" t="str">
        <f t="shared" si="6"/>
        <v>Pass</v>
      </c>
      <c r="H124" s="13"/>
      <c r="I124" t="str">
        <f t="shared" si="7"/>
        <v>Pass</v>
      </c>
      <c r="J124">
        <f>INDEX(C:C,MATCH(A123,A:A,0))</f>
        <v>8.9</v>
      </c>
      <c r="Z124" s="5"/>
    </row>
    <row r="125" spans="1:26" x14ac:dyDescent="0.25">
      <c r="A125" s="21" t="s">
        <v>123</v>
      </c>
      <c r="B125" s="22">
        <v>6.8</v>
      </c>
      <c r="C125" s="22">
        <v>8.4</v>
      </c>
      <c r="D125" s="22">
        <v>89.1</v>
      </c>
      <c r="E125" s="22">
        <v>79</v>
      </c>
      <c r="F125" s="22">
        <v>39.299999999999997</v>
      </c>
      <c r="G125" s="15" t="str">
        <f t="shared" si="6"/>
        <v>Pass</v>
      </c>
      <c r="H125" s="13"/>
      <c r="I125" t="str">
        <f t="shared" si="7"/>
        <v>Pass</v>
      </c>
      <c r="J125">
        <f>INDEX(C:C,MATCH(A124,A:A,0))</f>
        <v>8.1</v>
      </c>
      <c r="Z125" s="4"/>
    </row>
    <row r="126" spans="1:26" x14ac:dyDescent="0.25">
      <c r="A126" s="19" t="s">
        <v>124</v>
      </c>
      <c r="B126" s="20">
        <v>1</v>
      </c>
      <c r="C126" s="20">
        <v>4.0999999999999996</v>
      </c>
      <c r="D126" s="20">
        <v>82.6</v>
      </c>
      <c r="E126" s="20">
        <v>54</v>
      </c>
      <c r="F126" s="20">
        <v>21.2</v>
      </c>
      <c r="G126" s="15" t="str">
        <f t="shared" si="6"/>
        <v>Pass</v>
      </c>
      <c r="H126" s="13"/>
      <c r="I126" t="str">
        <f t="shared" si="7"/>
        <v>Pass</v>
      </c>
      <c r="J126">
        <f>INDEX(C:C,MATCH(A125,A:A,0))</f>
        <v>8.4</v>
      </c>
      <c r="Z126" s="5"/>
    </row>
    <row r="127" spans="1:26" x14ac:dyDescent="0.25">
      <c r="A127" s="21" t="s">
        <v>125</v>
      </c>
      <c r="B127" s="22">
        <v>4.5999999999999996</v>
      </c>
      <c r="C127" s="22">
        <v>7.7</v>
      </c>
      <c r="D127" s="22">
        <v>87.7</v>
      </c>
      <c r="E127" s="22">
        <v>89</v>
      </c>
      <c r="F127" s="22">
        <v>38.6</v>
      </c>
      <c r="G127" s="15" t="str">
        <f t="shared" si="6"/>
        <v>Pass</v>
      </c>
      <c r="H127" s="13"/>
      <c r="I127" t="str">
        <f t="shared" si="7"/>
        <v>Fail</v>
      </c>
      <c r="J127">
        <f>INDEX(C:C,MATCH(A126,A:A,0))</f>
        <v>4.0999999999999996</v>
      </c>
      <c r="Z127" s="4"/>
    </row>
    <row r="128" spans="1:26" x14ac:dyDescent="0.25">
      <c r="A128" s="19" t="s">
        <v>126</v>
      </c>
      <c r="B128" s="20">
        <v>1.2</v>
      </c>
      <c r="C128" s="20">
        <v>5.7</v>
      </c>
      <c r="D128" s="20">
        <v>97.5</v>
      </c>
      <c r="E128" s="20">
        <v>73</v>
      </c>
      <c r="F128" s="20">
        <v>26.8</v>
      </c>
      <c r="G128" s="15" t="str">
        <f t="shared" si="6"/>
        <v>Pass</v>
      </c>
      <c r="H128" s="13"/>
      <c r="I128" t="str">
        <f t="shared" si="7"/>
        <v>Pass</v>
      </c>
      <c r="J128">
        <f>INDEX(C:C,MATCH(A127,A:A,0))</f>
        <v>7.7</v>
      </c>
      <c r="Z128" s="5"/>
    </row>
    <row r="129" spans="1:26" x14ac:dyDescent="0.25">
      <c r="A129" s="21" t="s">
        <v>127</v>
      </c>
      <c r="B129" s="22">
        <v>11.2</v>
      </c>
      <c r="C129" s="22">
        <v>8.6999999999999993</v>
      </c>
      <c r="D129" s="22">
        <v>60</v>
      </c>
      <c r="E129" s="22">
        <v>64</v>
      </c>
      <c r="F129" s="22">
        <v>42.7</v>
      </c>
      <c r="G129" s="15" t="str">
        <f t="shared" si="6"/>
        <v>Pass</v>
      </c>
      <c r="H129" s="13"/>
      <c r="I129" t="str">
        <f t="shared" si="7"/>
        <v>Fail</v>
      </c>
      <c r="J129">
        <f>INDEX(C:C,MATCH(A128,A:A,0))</f>
        <v>5.7</v>
      </c>
      <c r="Z129" s="4"/>
    </row>
    <row r="130" spans="1:26" x14ac:dyDescent="0.25">
      <c r="A130" s="19" t="s">
        <v>128</v>
      </c>
      <c r="B130" s="20">
        <v>10.7</v>
      </c>
      <c r="C130" s="20">
        <v>8</v>
      </c>
      <c r="D130" s="20">
        <v>51</v>
      </c>
      <c r="E130" s="20">
        <v>68</v>
      </c>
      <c r="F130" s="20">
        <v>36.1</v>
      </c>
      <c r="G130" s="15" t="str">
        <f t="shared" ref="G130:G161" si="8">IF(E129&gt;=30,"Pass","Fail")</f>
        <v>Pass</v>
      </c>
      <c r="H130" s="13"/>
      <c r="I130" t="str">
        <f t="shared" si="7"/>
        <v>Pass</v>
      </c>
      <c r="J130">
        <f>INDEX(C:C,MATCH(A129,A:A,0))</f>
        <v>8.6999999999999993</v>
      </c>
      <c r="Z130" s="5"/>
    </row>
    <row r="131" spans="1:26" x14ac:dyDescent="0.25">
      <c r="A131" s="21" t="s">
        <v>129</v>
      </c>
      <c r="B131" s="22">
        <v>10.1</v>
      </c>
      <c r="C131" s="22">
        <v>8.3000000000000007</v>
      </c>
      <c r="D131" s="22">
        <v>57.6</v>
      </c>
      <c r="E131" s="22">
        <v>68</v>
      </c>
      <c r="F131" s="22">
        <v>39.200000000000003</v>
      </c>
      <c r="G131" s="15" t="str">
        <f t="shared" si="8"/>
        <v>Pass</v>
      </c>
      <c r="H131" s="13"/>
      <c r="I131" t="str">
        <f t="shared" ref="I131:I162" si="9">IF(F130&gt;=30,"Pass","Fail")</f>
        <v>Pass</v>
      </c>
      <c r="J131">
        <f>INDEX(C:C,MATCH(A130,A:A,0))</f>
        <v>8</v>
      </c>
      <c r="Z131" s="4"/>
    </row>
    <row r="132" spans="1:26" x14ac:dyDescent="0.25">
      <c r="A132" s="19" t="s">
        <v>130</v>
      </c>
      <c r="B132" s="20">
        <v>4.4000000000000004</v>
      </c>
      <c r="C132" s="20">
        <v>8.1</v>
      </c>
      <c r="D132" s="20">
        <v>56.3</v>
      </c>
      <c r="E132" s="20">
        <v>59</v>
      </c>
      <c r="F132" s="20">
        <v>32.9</v>
      </c>
      <c r="G132" s="15" t="str">
        <f t="shared" si="8"/>
        <v>Pass</v>
      </c>
      <c r="H132" s="13"/>
      <c r="I132" t="str">
        <f t="shared" si="9"/>
        <v>Pass</v>
      </c>
      <c r="J132">
        <f>INDEX(C:C,MATCH(A131,A:A,0))</f>
        <v>8.3000000000000007</v>
      </c>
      <c r="Z132" s="5"/>
    </row>
    <row r="133" spans="1:26" x14ac:dyDescent="0.25">
      <c r="A133" s="21" t="s">
        <v>131</v>
      </c>
      <c r="B133" s="22">
        <v>1.6</v>
      </c>
      <c r="C133" s="22">
        <v>5.3</v>
      </c>
      <c r="D133" s="22">
        <v>83.5</v>
      </c>
      <c r="E133" s="22">
        <v>95</v>
      </c>
      <c r="F133" s="22">
        <v>28.8</v>
      </c>
      <c r="G133" s="15" t="str">
        <f t="shared" si="8"/>
        <v>Pass</v>
      </c>
      <c r="H133" s="13"/>
      <c r="I133" t="str">
        <f t="shared" si="9"/>
        <v>Pass</v>
      </c>
      <c r="J133">
        <f>INDEX(C:C,MATCH(A132,A:A,0))</f>
        <v>8.1</v>
      </c>
      <c r="Z133" s="4"/>
    </row>
    <row r="134" spans="1:26" x14ac:dyDescent="0.25">
      <c r="A134" s="19" t="s">
        <v>132</v>
      </c>
      <c r="B134" s="20">
        <v>10.7</v>
      </c>
      <c r="C134" s="20">
        <v>7.9</v>
      </c>
      <c r="D134" s="20">
        <v>78.2</v>
      </c>
      <c r="E134" s="20">
        <v>77</v>
      </c>
      <c r="F134" s="20">
        <v>45.7</v>
      </c>
      <c r="G134" s="15" t="str">
        <f t="shared" si="8"/>
        <v>Pass</v>
      </c>
      <c r="H134" s="13"/>
      <c r="I134" t="str">
        <f t="shared" si="9"/>
        <v>Fail</v>
      </c>
      <c r="J134">
        <f>INDEX(C:C,MATCH(A133,A:A,0))</f>
        <v>5.3</v>
      </c>
      <c r="Z134" s="5"/>
    </row>
    <row r="135" spans="1:26" x14ac:dyDescent="0.25">
      <c r="A135" s="21" t="s">
        <v>133</v>
      </c>
      <c r="B135" s="22">
        <v>11.4</v>
      </c>
      <c r="C135" s="22">
        <v>4.5</v>
      </c>
      <c r="D135" s="22">
        <v>60.9</v>
      </c>
      <c r="E135" s="22">
        <v>67</v>
      </c>
      <c r="F135" s="22">
        <v>40.799999999999997</v>
      </c>
      <c r="G135" s="15" t="str">
        <f t="shared" si="8"/>
        <v>Pass</v>
      </c>
      <c r="H135" s="13"/>
      <c r="I135" t="str">
        <f t="shared" si="9"/>
        <v>Pass</v>
      </c>
      <c r="J135">
        <f>INDEX(C:C,MATCH(A134,A:A,0))</f>
        <v>7.9</v>
      </c>
      <c r="Z135" s="4"/>
    </row>
    <row r="136" spans="1:26" x14ac:dyDescent="0.25">
      <c r="A136" s="19" t="s">
        <v>134</v>
      </c>
      <c r="B136" s="20">
        <v>1.9</v>
      </c>
      <c r="C136" s="20">
        <v>8.4</v>
      </c>
      <c r="D136" s="20">
        <v>85</v>
      </c>
      <c r="E136" s="20">
        <v>59</v>
      </c>
      <c r="F136" s="20">
        <v>30.6</v>
      </c>
      <c r="G136" s="15" t="str">
        <f t="shared" si="8"/>
        <v>Pass</v>
      </c>
      <c r="H136" s="13"/>
      <c r="I136" t="str">
        <f t="shared" si="9"/>
        <v>Pass</v>
      </c>
      <c r="J136">
        <f>INDEX(C:C,MATCH(A135,A:A,0))</f>
        <v>4.5</v>
      </c>
      <c r="Z136" s="5"/>
    </row>
    <row r="137" spans="1:26" x14ac:dyDescent="0.25">
      <c r="A137" s="21" t="s">
        <v>135</v>
      </c>
      <c r="B137" s="22">
        <v>6.3</v>
      </c>
      <c r="C137" s="22">
        <v>8.3000000000000007</v>
      </c>
      <c r="D137" s="22">
        <v>88.3</v>
      </c>
      <c r="E137" s="22">
        <v>76</v>
      </c>
      <c r="F137" s="22">
        <v>41.1</v>
      </c>
      <c r="G137" s="15" t="str">
        <f t="shared" si="8"/>
        <v>Pass</v>
      </c>
      <c r="H137" s="13"/>
      <c r="I137" t="str">
        <f t="shared" si="9"/>
        <v>Pass</v>
      </c>
      <c r="J137">
        <f>INDEX(C:C,MATCH(A136,A:A,0))</f>
        <v>8.4</v>
      </c>
      <c r="Z137" s="4"/>
    </row>
    <row r="138" spans="1:26" x14ac:dyDescent="0.25">
      <c r="A138" s="19" t="s">
        <v>136</v>
      </c>
      <c r="B138" s="20">
        <v>1.8</v>
      </c>
      <c r="C138" s="20">
        <v>5.0999999999999996</v>
      </c>
      <c r="D138" s="20">
        <v>58.4</v>
      </c>
      <c r="E138" s="20">
        <v>79</v>
      </c>
      <c r="F138" s="20">
        <v>29</v>
      </c>
      <c r="G138" s="15" t="str">
        <f t="shared" si="8"/>
        <v>Pass</v>
      </c>
      <c r="H138" s="13"/>
      <c r="I138" t="str">
        <f t="shared" si="9"/>
        <v>Pass</v>
      </c>
      <c r="J138">
        <f>INDEX(C:C,MATCH(A137,A:A,0))</f>
        <v>8.3000000000000007</v>
      </c>
      <c r="Z138" s="5"/>
    </row>
    <row r="139" spans="1:26" x14ac:dyDescent="0.25">
      <c r="A139" s="21" t="s">
        <v>137</v>
      </c>
      <c r="B139" s="22">
        <v>9.4</v>
      </c>
      <c r="C139" s="22">
        <v>8.1</v>
      </c>
      <c r="D139" s="22">
        <v>80.400000000000006</v>
      </c>
      <c r="E139" s="22">
        <v>43</v>
      </c>
      <c r="F139" s="22">
        <v>35.1</v>
      </c>
      <c r="G139" s="15" t="str">
        <f t="shared" si="8"/>
        <v>Pass</v>
      </c>
      <c r="H139" s="13"/>
      <c r="I139" t="str">
        <f t="shared" si="9"/>
        <v>Fail</v>
      </c>
      <c r="J139">
        <f>INDEX(C:C,MATCH(A138,A:A,0))</f>
        <v>5.0999999999999996</v>
      </c>
      <c r="Z139" s="4"/>
    </row>
    <row r="140" spans="1:26" x14ac:dyDescent="0.25">
      <c r="A140" s="19" t="s">
        <v>138</v>
      </c>
      <c r="B140" s="20">
        <v>9.4</v>
      </c>
      <c r="C140" s="20">
        <v>6.3</v>
      </c>
      <c r="D140" s="20">
        <v>87.4</v>
      </c>
      <c r="E140" s="20">
        <v>79</v>
      </c>
      <c r="F140" s="20">
        <v>39.9</v>
      </c>
      <c r="G140" s="15" t="str">
        <f t="shared" si="8"/>
        <v>Pass</v>
      </c>
      <c r="H140" s="13"/>
      <c r="I140" t="str">
        <f t="shared" si="9"/>
        <v>Pass</v>
      </c>
      <c r="J140">
        <f>INDEX(C:C,MATCH(A139,A:A,0))</f>
        <v>8.1</v>
      </c>
      <c r="Z140" s="5"/>
    </row>
    <row r="141" spans="1:26" x14ac:dyDescent="0.25">
      <c r="A141" s="21" t="s">
        <v>139</v>
      </c>
      <c r="B141" s="22">
        <v>2.4</v>
      </c>
      <c r="C141" s="22">
        <v>5.5</v>
      </c>
      <c r="D141" s="22">
        <v>55.7</v>
      </c>
      <c r="E141" s="22">
        <v>87</v>
      </c>
      <c r="F141" s="22">
        <v>29.9</v>
      </c>
      <c r="G141" s="15" t="str">
        <f t="shared" si="8"/>
        <v>Pass</v>
      </c>
      <c r="H141" s="13"/>
      <c r="I141" t="str">
        <f t="shared" si="9"/>
        <v>Pass</v>
      </c>
      <c r="J141">
        <f>INDEX(C:C,MATCH(A140,A:A,0))</f>
        <v>6.3</v>
      </c>
      <c r="Z141" s="4"/>
    </row>
    <row r="142" spans="1:26" x14ac:dyDescent="0.25">
      <c r="A142" s="19" t="s">
        <v>140</v>
      </c>
      <c r="B142" s="20">
        <v>6.2</v>
      </c>
      <c r="C142" s="20">
        <v>8</v>
      </c>
      <c r="D142" s="20">
        <v>91</v>
      </c>
      <c r="E142" s="20">
        <v>46</v>
      </c>
      <c r="F142" s="20">
        <v>35</v>
      </c>
      <c r="G142" s="15" t="str">
        <f t="shared" si="8"/>
        <v>Pass</v>
      </c>
      <c r="H142" s="13"/>
      <c r="I142" t="str">
        <f t="shared" si="9"/>
        <v>Fail</v>
      </c>
      <c r="J142">
        <f>INDEX(C:C,MATCH(A141,A:A,0))</f>
        <v>5.5</v>
      </c>
      <c r="Z142" s="5"/>
    </row>
    <row r="143" spans="1:26" x14ac:dyDescent="0.25">
      <c r="A143" s="21" t="s">
        <v>141</v>
      </c>
      <c r="B143" s="22">
        <v>7</v>
      </c>
      <c r="C143" s="22">
        <v>5.0999999999999996</v>
      </c>
      <c r="D143" s="22">
        <v>98.2</v>
      </c>
      <c r="E143" s="22">
        <v>88</v>
      </c>
      <c r="F143" s="22">
        <v>43.3</v>
      </c>
      <c r="G143" s="15" t="str">
        <f t="shared" si="8"/>
        <v>Pass</v>
      </c>
      <c r="H143" s="13"/>
      <c r="I143" t="str">
        <f t="shared" si="9"/>
        <v>Pass</v>
      </c>
      <c r="J143">
        <f>INDEX(C:C,MATCH(A142,A:A,0))</f>
        <v>8</v>
      </c>
      <c r="Z143" s="4"/>
    </row>
    <row r="144" spans="1:26" x14ac:dyDescent="0.25">
      <c r="A144" s="19" t="s">
        <v>142</v>
      </c>
      <c r="B144" s="20">
        <v>3.9</v>
      </c>
      <c r="C144" s="20">
        <v>4.0999999999999996</v>
      </c>
      <c r="D144" s="20">
        <v>55.4</v>
      </c>
      <c r="E144" s="20">
        <v>53</v>
      </c>
      <c r="F144" s="20">
        <v>19</v>
      </c>
      <c r="G144" s="15" t="str">
        <f t="shared" si="8"/>
        <v>Pass</v>
      </c>
      <c r="H144" s="13"/>
      <c r="I144" t="str">
        <f t="shared" si="9"/>
        <v>Pass</v>
      </c>
      <c r="J144">
        <f>INDEX(C:C,MATCH(A143,A:A,0))</f>
        <v>5.0999999999999996</v>
      </c>
      <c r="Z144" s="5"/>
    </row>
    <row r="145" spans="1:26" x14ac:dyDescent="0.25">
      <c r="A145" s="21" t="s">
        <v>143</v>
      </c>
      <c r="B145" s="22">
        <v>10.6</v>
      </c>
      <c r="C145" s="22">
        <v>5</v>
      </c>
      <c r="D145" s="22">
        <v>51.3</v>
      </c>
      <c r="E145" s="22">
        <v>80</v>
      </c>
      <c r="F145" s="22">
        <v>35.1</v>
      </c>
      <c r="G145" s="15" t="str">
        <f t="shared" si="8"/>
        <v>Pass</v>
      </c>
      <c r="H145" s="13"/>
      <c r="I145" t="str">
        <f t="shared" si="9"/>
        <v>Fail</v>
      </c>
      <c r="J145">
        <f>INDEX(C:C,MATCH(A144,A:A,0))</f>
        <v>4.0999999999999996</v>
      </c>
      <c r="Z145" s="4"/>
    </row>
    <row r="146" spans="1:26" x14ac:dyDescent="0.25">
      <c r="A146" s="19" t="s">
        <v>144</v>
      </c>
      <c r="B146" s="20">
        <v>5.7</v>
      </c>
      <c r="C146" s="20">
        <v>5.6</v>
      </c>
      <c r="D146" s="20">
        <v>65.599999999999994</v>
      </c>
      <c r="E146" s="20">
        <v>53</v>
      </c>
      <c r="F146" s="20">
        <v>29.9</v>
      </c>
      <c r="G146" s="15" t="str">
        <f t="shared" si="8"/>
        <v>Pass</v>
      </c>
      <c r="H146" s="13"/>
      <c r="I146" t="str">
        <f t="shared" si="9"/>
        <v>Pass</v>
      </c>
      <c r="J146">
        <f>INDEX(C:C,MATCH(A145,A:A,0))</f>
        <v>5</v>
      </c>
      <c r="Z146" s="5"/>
    </row>
    <row r="147" spans="1:26" x14ac:dyDescent="0.25">
      <c r="A147" s="21" t="s">
        <v>145</v>
      </c>
      <c r="B147" s="22">
        <v>3.3</v>
      </c>
      <c r="C147" s="22">
        <v>8.3000000000000007</v>
      </c>
      <c r="D147" s="22">
        <v>83.9</v>
      </c>
      <c r="E147" s="22">
        <v>56</v>
      </c>
      <c r="F147" s="22">
        <v>33</v>
      </c>
      <c r="G147" s="15" t="str">
        <f t="shared" si="8"/>
        <v>Pass</v>
      </c>
      <c r="H147" s="13"/>
      <c r="I147" t="str">
        <f t="shared" si="9"/>
        <v>Fail</v>
      </c>
      <c r="J147">
        <f>INDEX(C:C,MATCH(A146,A:A,0))</f>
        <v>5.6</v>
      </c>
      <c r="Z147" s="4"/>
    </row>
    <row r="148" spans="1:26" x14ac:dyDescent="0.25">
      <c r="A148" s="19" t="s">
        <v>146</v>
      </c>
      <c r="B148" s="20">
        <v>6.9</v>
      </c>
      <c r="C148" s="20">
        <v>8.8000000000000007</v>
      </c>
      <c r="D148" s="20">
        <v>97.9</v>
      </c>
      <c r="E148" s="20">
        <v>82</v>
      </c>
      <c r="F148" s="20">
        <v>45.8</v>
      </c>
      <c r="G148" s="15" t="str">
        <f t="shared" si="8"/>
        <v>Pass</v>
      </c>
      <c r="H148" s="13"/>
      <c r="I148" t="str">
        <f t="shared" si="9"/>
        <v>Pass</v>
      </c>
      <c r="J148">
        <f>INDEX(C:C,MATCH(A147,A:A,0))</f>
        <v>8.3000000000000007</v>
      </c>
      <c r="Z148" s="5"/>
    </row>
    <row r="149" spans="1:26" x14ac:dyDescent="0.25">
      <c r="A149" s="21" t="s">
        <v>147</v>
      </c>
      <c r="B149" s="22">
        <v>9</v>
      </c>
      <c r="C149" s="22">
        <v>5.4</v>
      </c>
      <c r="D149" s="22">
        <v>69.8</v>
      </c>
      <c r="E149" s="22">
        <v>45</v>
      </c>
      <c r="F149" s="22">
        <v>35.5</v>
      </c>
      <c r="G149" s="15" t="str">
        <f t="shared" si="8"/>
        <v>Pass</v>
      </c>
      <c r="H149" s="13"/>
      <c r="I149" t="str">
        <f t="shared" si="9"/>
        <v>Pass</v>
      </c>
      <c r="J149">
        <f>INDEX(C:C,MATCH(A148,A:A,0))</f>
        <v>8.8000000000000007</v>
      </c>
      <c r="Z149" s="4"/>
    </row>
    <row r="150" spans="1:26" x14ac:dyDescent="0.25">
      <c r="A150" s="19" t="s">
        <v>148</v>
      </c>
      <c r="B150" s="20">
        <v>3.2</v>
      </c>
      <c r="C150" s="20">
        <v>7.2</v>
      </c>
      <c r="D150" s="20">
        <v>85.8</v>
      </c>
      <c r="E150" s="20">
        <v>50</v>
      </c>
      <c r="F150" s="20">
        <v>26.4</v>
      </c>
      <c r="G150" s="15" t="str">
        <f t="shared" si="8"/>
        <v>Pass</v>
      </c>
      <c r="H150" s="13"/>
      <c r="I150" t="str">
        <f t="shared" si="9"/>
        <v>Pass</v>
      </c>
      <c r="J150">
        <f>INDEX(C:C,MATCH(A149,A:A,0))</f>
        <v>5.4</v>
      </c>
      <c r="Z150" s="5"/>
    </row>
    <row r="151" spans="1:26" x14ac:dyDescent="0.25">
      <c r="A151" s="21" t="s">
        <v>149</v>
      </c>
      <c r="B151" s="22">
        <v>4.4000000000000004</v>
      </c>
      <c r="C151" s="22">
        <v>6</v>
      </c>
      <c r="D151" s="22">
        <v>53.8</v>
      </c>
      <c r="E151" s="22">
        <v>55</v>
      </c>
      <c r="F151" s="22">
        <v>21.9</v>
      </c>
      <c r="G151" s="15" t="str">
        <f t="shared" si="8"/>
        <v>Pass</v>
      </c>
      <c r="H151" s="13"/>
      <c r="I151" t="str">
        <f t="shared" si="9"/>
        <v>Fail</v>
      </c>
      <c r="J151">
        <f>INDEX(C:C,MATCH(A150,A:A,0))</f>
        <v>7.2</v>
      </c>
      <c r="Z151" s="4"/>
    </row>
    <row r="152" spans="1:26" x14ac:dyDescent="0.25">
      <c r="A152" s="19" t="s">
        <v>150</v>
      </c>
      <c r="B152" s="20">
        <v>11.9</v>
      </c>
      <c r="C152" s="20">
        <v>8.9</v>
      </c>
      <c r="D152" s="20">
        <v>84.5</v>
      </c>
      <c r="E152" s="20">
        <v>51</v>
      </c>
      <c r="F152" s="20">
        <v>44.1</v>
      </c>
      <c r="G152" s="15" t="str">
        <f t="shared" si="8"/>
        <v>Pass</v>
      </c>
      <c r="H152" s="13"/>
      <c r="I152" t="str">
        <f t="shared" si="9"/>
        <v>Fail</v>
      </c>
      <c r="J152">
        <f>INDEX(C:C,MATCH(A151,A:A,0))</f>
        <v>6</v>
      </c>
      <c r="Z152" s="5"/>
    </row>
    <row r="153" spans="1:26" x14ac:dyDescent="0.25">
      <c r="A153" s="21" t="s">
        <v>151</v>
      </c>
      <c r="B153" s="22">
        <v>8.1</v>
      </c>
      <c r="C153" s="22">
        <v>6.7</v>
      </c>
      <c r="D153" s="22">
        <v>81.400000000000006</v>
      </c>
      <c r="E153" s="22">
        <v>75</v>
      </c>
      <c r="F153" s="22">
        <v>42.3</v>
      </c>
      <c r="G153" s="15" t="str">
        <f t="shared" si="8"/>
        <v>Pass</v>
      </c>
      <c r="H153" s="13"/>
      <c r="I153" t="str">
        <f t="shared" si="9"/>
        <v>Pass</v>
      </c>
      <c r="J153">
        <f>INDEX(C:C,MATCH(A152,A:A,0))</f>
        <v>8.9</v>
      </c>
      <c r="Z153" s="4"/>
    </row>
    <row r="154" spans="1:26" x14ac:dyDescent="0.25">
      <c r="A154" s="19" t="s">
        <v>152</v>
      </c>
      <c r="B154" s="20">
        <v>5.8</v>
      </c>
      <c r="C154" s="20">
        <v>8.6999999999999993</v>
      </c>
      <c r="D154" s="20">
        <v>55.1</v>
      </c>
      <c r="E154" s="20">
        <v>44</v>
      </c>
      <c r="F154" s="20">
        <v>27.7</v>
      </c>
      <c r="G154" s="15" t="str">
        <f t="shared" si="8"/>
        <v>Pass</v>
      </c>
      <c r="H154" s="13"/>
      <c r="I154" t="str">
        <f t="shared" si="9"/>
        <v>Pass</v>
      </c>
      <c r="J154">
        <f>INDEX(C:C,MATCH(A153,A:A,0))</f>
        <v>6.7</v>
      </c>
      <c r="Z154" s="5"/>
    </row>
    <row r="155" spans="1:26" x14ac:dyDescent="0.25">
      <c r="A155" s="21" t="s">
        <v>153</v>
      </c>
      <c r="B155" s="22">
        <v>6.7</v>
      </c>
      <c r="C155" s="22">
        <v>4.5999999999999996</v>
      </c>
      <c r="D155" s="22">
        <v>88.6</v>
      </c>
      <c r="E155" s="22">
        <v>50</v>
      </c>
      <c r="F155" s="22">
        <v>33.4</v>
      </c>
      <c r="G155" s="15" t="str">
        <f t="shared" si="8"/>
        <v>Pass</v>
      </c>
      <c r="H155" s="13"/>
      <c r="I155" t="str">
        <f t="shared" si="9"/>
        <v>Fail</v>
      </c>
      <c r="J155">
        <f>INDEX(C:C,MATCH(A154,A:A,0))</f>
        <v>8.6999999999999993</v>
      </c>
      <c r="Z155" s="4"/>
    </row>
    <row r="156" spans="1:26" x14ac:dyDescent="0.25">
      <c r="A156" s="19" t="s">
        <v>154</v>
      </c>
      <c r="B156" s="20">
        <v>2.2999999999999998</v>
      </c>
      <c r="C156" s="20">
        <v>8.9</v>
      </c>
      <c r="D156" s="20">
        <v>92.5</v>
      </c>
      <c r="E156" s="20">
        <v>40</v>
      </c>
      <c r="F156" s="20">
        <v>29.7</v>
      </c>
      <c r="G156" s="15" t="str">
        <f t="shared" si="8"/>
        <v>Pass</v>
      </c>
      <c r="H156" s="13"/>
      <c r="I156" t="str">
        <f t="shared" si="9"/>
        <v>Pass</v>
      </c>
      <c r="J156">
        <f>INDEX(C:C,MATCH(A155,A:A,0))</f>
        <v>4.5999999999999996</v>
      </c>
      <c r="Z156" s="5"/>
    </row>
    <row r="157" spans="1:26" x14ac:dyDescent="0.25">
      <c r="A157" s="21" t="s">
        <v>155</v>
      </c>
      <c r="B157" s="22">
        <v>3.5</v>
      </c>
      <c r="C157" s="22">
        <v>4.9000000000000004</v>
      </c>
      <c r="D157" s="22">
        <v>80</v>
      </c>
      <c r="E157" s="22">
        <v>66</v>
      </c>
      <c r="F157" s="22">
        <v>23.6</v>
      </c>
      <c r="G157" s="15" t="str">
        <f t="shared" si="8"/>
        <v>Pass</v>
      </c>
      <c r="H157" s="13"/>
      <c r="I157" t="str">
        <f t="shared" si="9"/>
        <v>Fail</v>
      </c>
      <c r="J157">
        <f>INDEX(C:C,MATCH(A156,A:A,0))</f>
        <v>8.9</v>
      </c>
      <c r="Z157" s="4"/>
    </row>
    <row r="158" spans="1:26" x14ac:dyDescent="0.25">
      <c r="A158" s="19" t="s">
        <v>156</v>
      </c>
      <c r="B158" s="20">
        <v>4.7</v>
      </c>
      <c r="C158" s="20">
        <v>8.8000000000000007</v>
      </c>
      <c r="D158" s="20">
        <v>56.1</v>
      </c>
      <c r="E158" s="20">
        <v>68</v>
      </c>
      <c r="F158" s="20">
        <v>33.6</v>
      </c>
      <c r="G158" s="15" t="str">
        <f t="shared" si="8"/>
        <v>Pass</v>
      </c>
      <c r="H158" s="13"/>
      <c r="I158" t="str">
        <f t="shared" si="9"/>
        <v>Fail</v>
      </c>
      <c r="J158">
        <f>INDEX(C:C,MATCH(A157,A:A,0))</f>
        <v>4.9000000000000004</v>
      </c>
      <c r="Z158" s="5"/>
    </row>
    <row r="159" spans="1:26" x14ac:dyDescent="0.25">
      <c r="A159" s="21" t="s">
        <v>157</v>
      </c>
      <c r="B159" s="22">
        <v>7.5</v>
      </c>
      <c r="C159" s="22">
        <v>5.3</v>
      </c>
      <c r="D159" s="22">
        <v>99.2</v>
      </c>
      <c r="E159" s="22">
        <v>84</v>
      </c>
      <c r="F159" s="22">
        <v>37.9</v>
      </c>
      <c r="G159" s="15" t="str">
        <f t="shared" si="8"/>
        <v>Pass</v>
      </c>
      <c r="H159" s="13"/>
      <c r="I159" t="str">
        <f t="shared" si="9"/>
        <v>Pass</v>
      </c>
      <c r="J159">
        <f>INDEX(C:C,MATCH(A158,A:A,0))</f>
        <v>8.8000000000000007</v>
      </c>
      <c r="Z159" s="4"/>
    </row>
    <row r="160" spans="1:26" x14ac:dyDescent="0.25">
      <c r="A160" s="19" t="s">
        <v>158</v>
      </c>
      <c r="B160" s="20">
        <v>3.5</v>
      </c>
      <c r="C160" s="20">
        <v>4.5</v>
      </c>
      <c r="D160" s="20">
        <v>89.1</v>
      </c>
      <c r="E160" s="20">
        <v>78</v>
      </c>
      <c r="F160" s="20">
        <v>29.5</v>
      </c>
      <c r="G160" s="15" t="str">
        <f t="shared" si="8"/>
        <v>Pass</v>
      </c>
      <c r="H160" s="13"/>
      <c r="I160" t="str">
        <f t="shared" si="9"/>
        <v>Pass</v>
      </c>
      <c r="J160">
        <f>INDEX(C:C,MATCH(A159,A:A,0))</f>
        <v>5.3</v>
      </c>
      <c r="Z160" s="5"/>
    </row>
    <row r="161" spans="1:26" x14ac:dyDescent="0.25">
      <c r="A161" s="21" t="s">
        <v>159</v>
      </c>
      <c r="B161" s="22">
        <v>3.4</v>
      </c>
      <c r="C161" s="22">
        <v>6.2</v>
      </c>
      <c r="D161" s="22">
        <v>67.400000000000006</v>
      </c>
      <c r="E161" s="22">
        <v>70</v>
      </c>
      <c r="F161" s="22">
        <v>24.7</v>
      </c>
      <c r="G161" s="15" t="str">
        <f t="shared" si="8"/>
        <v>Pass</v>
      </c>
      <c r="H161" s="13"/>
      <c r="I161" t="str">
        <f t="shared" si="9"/>
        <v>Fail</v>
      </c>
      <c r="J161">
        <f>INDEX(C:C,MATCH(A160,A:A,0))</f>
        <v>4.5</v>
      </c>
      <c r="Z161" s="4"/>
    </row>
    <row r="162" spans="1:26" x14ac:dyDescent="0.25">
      <c r="A162" s="19" t="s">
        <v>160</v>
      </c>
      <c r="B162" s="20">
        <v>1.8</v>
      </c>
      <c r="C162" s="20">
        <v>7.6</v>
      </c>
      <c r="D162" s="20">
        <v>71.400000000000006</v>
      </c>
      <c r="E162" s="20">
        <v>58</v>
      </c>
      <c r="F162" s="20">
        <v>25.2</v>
      </c>
      <c r="G162" s="15" t="str">
        <f t="shared" ref="G162:G193" si="10">IF(E161&gt;=30,"Pass","Fail")</f>
        <v>Pass</v>
      </c>
      <c r="H162" s="13"/>
      <c r="I162" t="str">
        <f t="shared" si="9"/>
        <v>Fail</v>
      </c>
      <c r="J162">
        <f>INDEX(C:C,MATCH(A161,A:A,0))</f>
        <v>6.2</v>
      </c>
      <c r="Z162" s="5"/>
    </row>
    <row r="163" spans="1:26" x14ac:dyDescent="0.25">
      <c r="A163" s="21" t="s">
        <v>161</v>
      </c>
      <c r="B163" s="22">
        <v>7.9</v>
      </c>
      <c r="C163" s="22">
        <v>5.6</v>
      </c>
      <c r="D163" s="22">
        <v>68.5</v>
      </c>
      <c r="E163" s="22">
        <v>42</v>
      </c>
      <c r="F163" s="22">
        <v>31.4</v>
      </c>
      <c r="G163" s="15" t="str">
        <f t="shared" si="10"/>
        <v>Pass</v>
      </c>
      <c r="H163" s="13"/>
      <c r="I163" t="str">
        <f t="shared" ref="I163:I194" si="11">IF(F162&gt;=30,"Pass","Fail")</f>
        <v>Fail</v>
      </c>
      <c r="J163">
        <f>INDEX(C:C,MATCH(A162,A:A,0))</f>
        <v>7.6</v>
      </c>
      <c r="Z163" s="4"/>
    </row>
    <row r="164" spans="1:26" x14ac:dyDescent="0.25">
      <c r="A164" s="19" t="s">
        <v>162</v>
      </c>
      <c r="B164" s="20">
        <v>3.5</v>
      </c>
      <c r="C164" s="20">
        <v>7</v>
      </c>
      <c r="D164" s="20">
        <v>75.3</v>
      </c>
      <c r="E164" s="20">
        <v>54</v>
      </c>
      <c r="F164" s="20">
        <v>30</v>
      </c>
      <c r="G164" s="15" t="str">
        <f t="shared" si="10"/>
        <v>Pass</v>
      </c>
      <c r="H164" s="13"/>
      <c r="I164" t="str">
        <f t="shared" si="11"/>
        <v>Pass</v>
      </c>
      <c r="J164">
        <f>INDEX(C:C,MATCH(A163,A:A,0))</f>
        <v>5.6</v>
      </c>
      <c r="Z164" s="5"/>
    </row>
    <row r="165" spans="1:26" x14ac:dyDescent="0.25">
      <c r="A165" s="21" t="s">
        <v>163</v>
      </c>
      <c r="B165" s="22">
        <v>11</v>
      </c>
      <c r="C165" s="22">
        <v>6.6</v>
      </c>
      <c r="D165" s="22">
        <v>67.099999999999994</v>
      </c>
      <c r="E165" s="22">
        <v>58</v>
      </c>
      <c r="F165" s="22">
        <v>35.799999999999997</v>
      </c>
      <c r="G165" s="15" t="str">
        <f t="shared" si="10"/>
        <v>Pass</v>
      </c>
      <c r="H165" s="13"/>
      <c r="I165" t="str">
        <f t="shared" si="11"/>
        <v>Pass</v>
      </c>
      <c r="J165">
        <f>INDEX(C:C,MATCH(A164,A:A,0))</f>
        <v>7</v>
      </c>
      <c r="Z165" s="4"/>
    </row>
    <row r="166" spans="1:26" x14ac:dyDescent="0.25">
      <c r="A166" s="19" t="s">
        <v>164</v>
      </c>
      <c r="B166" s="20">
        <v>10.5</v>
      </c>
      <c r="C166" s="20">
        <v>5.9</v>
      </c>
      <c r="D166" s="20">
        <v>92.5</v>
      </c>
      <c r="E166" s="20">
        <v>85</v>
      </c>
      <c r="F166" s="20">
        <v>40.6</v>
      </c>
      <c r="G166" s="15" t="str">
        <f t="shared" si="10"/>
        <v>Pass</v>
      </c>
      <c r="H166" s="13"/>
      <c r="I166" t="str">
        <f t="shared" si="11"/>
        <v>Pass</v>
      </c>
      <c r="J166">
        <f>INDEX(C:C,MATCH(A165,A:A,0))</f>
        <v>6.6</v>
      </c>
      <c r="Z166" s="5"/>
    </row>
    <row r="167" spans="1:26" x14ac:dyDescent="0.25">
      <c r="A167" s="21" t="s">
        <v>165</v>
      </c>
      <c r="B167" s="22">
        <v>1.8</v>
      </c>
      <c r="C167" s="22">
        <v>6.9</v>
      </c>
      <c r="D167" s="22">
        <v>91.1</v>
      </c>
      <c r="E167" s="22">
        <v>58</v>
      </c>
      <c r="F167" s="22">
        <v>30.1</v>
      </c>
      <c r="G167" s="15" t="str">
        <f t="shared" si="10"/>
        <v>Pass</v>
      </c>
      <c r="H167" s="13"/>
      <c r="I167" t="str">
        <f t="shared" si="11"/>
        <v>Pass</v>
      </c>
      <c r="J167">
        <f>INDEX(C:C,MATCH(A166,A:A,0))</f>
        <v>5.9</v>
      </c>
      <c r="Z167" s="4"/>
    </row>
    <row r="168" spans="1:26" x14ac:dyDescent="0.25">
      <c r="A168" s="19" t="s">
        <v>166</v>
      </c>
      <c r="B168" s="20">
        <v>3.6</v>
      </c>
      <c r="C168" s="20">
        <v>5.3</v>
      </c>
      <c r="D168" s="20">
        <v>55.3</v>
      </c>
      <c r="E168" s="20">
        <v>84</v>
      </c>
      <c r="F168" s="20">
        <v>30.3</v>
      </c>
      <c r="G168" s="15" t="str">
        <f t="shared" si="10"/>
        <v>Pass</v>
      </c>
      <c r="H168" s="13"/>
      <c r="I168" t="str">
        <f t="shared" si="11"/>
        <v>Pass</v>
      </c>
      <c r="J168">
        <f>INDEX(C:C,MATCH(A167,A:A,0))</f>
        <v>6.9</v>
      </c>
      <c r="Z168" s="5"/>
    </row>
    <row r="169" spans="1:26" x14ac:dyDescent="0.25">
      <c r="A169" s="21" t="s">
        <v>167</v>
      </c>
      <c r="B169" s="22">
        <v>8.4</v>
      </c>
      <c r="C169" s="22">
        <v>7.5</v>
      </c>
      <c r="D169" s="22">
        <v>98</v>
      </c>
      <c r="E169" s="22">
        <v>95</v>
      </c>
      <c r="F169" s="22">
        <v>42</v>
      </c>
      <c r="G169" s="15" t="str">
        <f t="shared" si="10"/>
        <v>Pass</v>
      </c>
      <c r="H169" s="13"/>
      <c r="I169" t="str">
        <f t="shared" si="11"/>
        <v>Pass</v>
      </c>
      <c r="J169">
        <f>INDEX(C:C,MATCH(A168,A:A,0))</f>
        <v>5.3</v>
      </c>
      <c r="Z169" s="4"/>
    </row>
    <row r="170" spans="1:26" x14ac:dyDescent="0.25">
      <c r="A170" s="19" t="s">
        <v>168</v>
      </c>
      <c r="B170" s="20">
        <v>3.4</v>
      </c>
      <c r="C170" s="20">
        <v>4</v>
      </c>
      <c r="D170" s="20">
        <v>81.8</v>
      </c>
      <c r="E170" s="20">
        <v>69</v>
      </c>
      <c r="F170" s="20">
        <v>32.1</v>
      </c>
      <c r="G170" s="15" t="str">
        <f t="shared" si="10"/>
        <v>Pass</v>
      </c>
      <c r="H170" s="13"/>
      <c r="I170" t="str">
        <f t="shared" si="11"/>
        <v>Pass</v>
      </c>
      <c r="J170">
        <f>INDEX(C:C,MATCH(A169,A:A,0))</f>
        <v>7.5</v>
      </c>
      <c r="Z170" s="5"/>
    </row>
    <row r="171" spans="1:26" x14ac:dyDescent="0.25">
      <c r="A171" s="21" t="s">
        <v>169</v>
      </c>
      <c r="B171" s="22">
        <v>2.5</v>
      </c>
      <c r="C171" s="22">
        <v>8.6</v>
      </c>
      <c r="D171" s="22">
        <v>91.4</v>
      </c>
      <c r="E171" s="22">
        <v>44</v>
      </c>
      <c r="F171" s="22">
        <v>22.8</v>
      </c>
      <c r="G171" s="15" t="str">
        <f t="shared" si="10"/>
        <v>Pass</v>
      </c>
      <c r="H171" s="13"/>
      <c r="I171" t="str">
        <f t="shared" si="11"/>
        <v>Pass</v>
      </c>
      <c r="J171">
        <f>INDEX(C:C,MATCH(A170,A:A,0))</f>
        <v>4</v>
      </c>
      <c r="Z171" s="4"/>
    </row>
    <row r="172" spans="1:26" x14ac:dyDescent="0.25">
      <c r="A172" s="19" t="s">
        <v>170</v>
      </c>
      <c r="B172" s="20">
        <v>11.3</v>
      </c>
      <c r="C172" s="20">
        <v>6.7</v>
      </c>
      <c r="D172" s="20">
        <v>85.4</v>
      </c>
      <c r="E172" s="20">
        <v>83</v>
      </c>
      <c r="F172" s="20">
        <v>45.3</v>
      </c>
      <c r="G172" s="15" t="str">
        <f t="shared" si="10"/>
        <v>Pass</v>
      </c>
      <c r="H172" s="13"/>
      <c r="I172" t="str">
        <f t="shared" si="11"/>
        <v>Fail</v>
      </c>
      <c r="J172">
        <f>INDEX(C:C,MATCH(A171,A:A,0))</f>
        <v>8.6</v>
      </c>
      <c r="Z172" s="5"/>
    </row>
    <row r="173" spans="1:26" x14ac:dyDescent="0.25">
      <c r="A173" s="21" t="s">
        <v>171</v>
      </c>
      <c r="B173" s="22">
        <v>7.3</v>
      </c>
      <c r="C173" s="22">
        <v>7.6</v>
      </c>
      <c r="D173" s="22">
        <v>71.8</v>
      </c>
      <c r="E173" s="22">
        <v>54</v>
      </c>
      <c r="F173" s="22">
        <v>31</v>
      </c>
      <c r="G173" s="15" t="str">
        <f t="shared" si="10"/>
        <v>Pass</v>
      </c>
      <c r="H173" s="13"/>
      <c r="I173" t="str">
        <f t="shared" si="11"/>
        <v>Pass</v>
      </c>
      <c r="J173">
        <f>INDEX(C:C,MATCH(A172,A:A,0))</f>
        <v>6.7</v>
      </c>
      <c r="Z173" s="4"/>
    </row>
    <row r="174" spans="1:26" x14ac:dyDescent="0.25">
      <c r="A174" s="19" t="s">
        <v>172</v>
      </c>
      <c r="B174" s="20">
        <v>6.2</v>
      </c>
      <c r="C174" s="20">
        <v>7.7</v>
      </c>
      <c r="D174" s="20">
        <v>86.7</v>
      </c>
      <c r="E174" s="20">
        <v>56</v>
      </c>
      <c r="F174" s="20">
        <v>31</v>
      </c>
      <c r="G174" s="15" t="str">
        <f t="shared" si="10"/>
        <v>Pass</v>
      </c>
      <c r="H174" s="13"/>
      <c r="I174" t="str">
        <f t="shared" si="11"/>
        <v>Pass</v>
      </c>
      <c r="J174">
        <f>INDEX(C:C,MATCH(A173,A:A,0))</f>
        <v>7.6</v>
      </c>
      <c r="Z174" s="5"/>
    </row>
    <row r="175" spans="1:26" x14ac:dyDescent="0.25">
      <c r="A175" s="21" t="s">
        <v>173</v>
      </c>
      <c r="B175" s="22">
        <v>9.6</v>
      </c>
      <c r="C175" s="22">
        <v>7.4</v>
      </c>
      <c r="D175" s="22">
        <v>98.3</v>
      </c>
      <c r="E175" s="22">
        <v>90</v>
      </c>
      <c r="F175" s="22">
        <v>40.9</v>
      </c>
      <c r="G175" s="15" t="str">
        <f t="shared" si="10"/>
        <v>Pass</v>
      </c>
      <c r="H175" s="13"/>
      <c r="I175" t="str">
        <f t="shared" si="11"/>
        <v>Pass</v>
      </c>
      <c r="J175">
        <f>INDEX(C:C,MATCH(A174,A:A,0))</f>
        <v>7.7</v>
      </c>
      <c r="Z175" s="4"/>
    </row>
    <row r="176" spans="1:26" x14ac:dyDescent="0.25">
      <c r="A176" s="19" t="s">
        <v>174</v>
      </c>
      <c r="B176" s="20">
        <v>9.9</v>
      </c>
      <c r="C176" s="20">
        <v>5.8</v>
      </c>
      <c r="D176" s="20">
        <v>63.5</v>
      </c>
      <c r="E176" s="20">
        <v>90</v>
      </c>
      <c r="F176" s="20">
        <v>44.8</v>
      </c>
      <c r="G176" s="15" t="str">
        <f t="shared" si="10"/>
        <v>Pass</v>
      </c>
      <c r="H176" s="13"/>
      <c r="I176" t="str">
        <f t="shared" si="11"/>
        <v>Pass</v>
      </c>
      <c r="J176">
        <f>INDEX(C:C,MATCH(A175,A:A,0))</f>
        <v>7.4</v>
      </c>
      <c r="Z176" s="5"/>
    </row>
    <row r="177" spans="1:26" x14ac:dyDescent="0.25">
      <c r="A177" s="21" t="s">
        <v>175</v>
      </c>
      <c r="B177" s="22">
        <v>3.1</v>
      </c>
      <c r="C177" s="22">
        <v>4.3</v>
      </c>
      <c r="D177" s="22">
        <v>90.4</v>
      </c>
      <c r="E177" s="22">
        <v>80</v>
      </c>
      <c r="F177" s="22">
        <v>34.4</v>
      </c>
      <c r="G177" s="15" t="str">
        <f t="shared" si="10"/>
        <v>Pass</v>
      </c>
      <c r="H177" s="13"/>
      <c r="I177" t="str">
        <f t="shared" si="11"/>
        <v>Pass</v>
      </c>
      <c r="J177">
        <f>INDEX(C:C,MATCH(A176,A:A,0))</f>
        <v>5.8</v>
      </c>
      <c r="Z177" s="4"/>
    </row>
    <row r="178" spans="1:26" x14ac:dyDescent="0.25">
      <c r="A178" s="19" t="s">
        <v>176</v>
      </c>
      <c r="B178" s="20">
        <v>2.1</v>
      </c>
      <c r="C178" s="20">
        <v>7.3</v>
      </c>
      <c r="D178" s="20">
        <v>76.900000000000006</v>
      </c>
      <c r="E178" s="20">
        <v>77</v>
      </c>
      <c r="F178" s="20">
        <v>30.7</v>
      </c>
      <c r="G178" s="15" t="str">
        <f t="shared" si="10"/>
        <v>Pass</v>
      </c>
      <c r="H178" s="13"/>
      <c r="I178" t="str">
        <f t="shared" si="11"/>
        <v>Pass</v>
      </c>
      <c r="J178">
        <f>INDEX(C:C,MATCH(A177,A:A,0))</f>
        <v>4.3</v>
      </c>
      <c r="Z178" s="5"/>
    </row>
    <row r="179" spans="1:26" x14ac:dyDescent="0.25">
      <c r="A179" s="21" t="s">
        <v>177</v>
      </c>
      <c r="B179" s="22">
        <v>5.7</v>
      </c>
      <c r="C179" s="22">
        <v>5.7</v>
      </c>
      <c r="D179" s="22">
        <v>74.2</v>
      </c>
      <c r="E179" s="22">
        <v>82</v>
      </c>
      <c r="F179" s="22">
        <v>31</v>
      </c>
      <c r="G179" s="15" t="str">
        <f t="shared" si="10"/>
        <v>Pass</v>
      </c>
      <c r="H179" s="13"/>
      <c r="I179" t="str">
        <f t="shared" si="11"/>
        <v>Pass</v>
      </c>
      <c r="J179">
        <f>INDEX(C:C,MATCH(A178,A:A,0))</f>
        <v>7.3</v>
      </c>
      <c r="Z179" s="4"/>
    </row>
    <row r="180" spans="1:26" x14ac:dyDescent="0.25">
      <c r="A180" s="19" t="s">
        <v>178</v>
      </c>
      <c r="B180" s="20">
        <v>5.7</v>
      </c>
      <c r="C180" s="20">
        <v>5.6</v>
      </c>
      <c r="D180" s="20">
        <v>71.8</v>
      </c>
      <c r="E180" s="20">
        <v>91</v>
      </c>
      <c r="F180" s="20">
        <v>35</v>
      </c>
      <c r="G180" s="15" t="str">
        <f t="shared" si="10"/>
        <v>Pass</v>
      </c>
      <c r="H180" s="13"/>
      <c r="I180" t="str">
        <f t="shared" si="11"/>
        <v>Pass</v>
      </c>
      <c r="J180">
        <f>INDEX(C:C,MATCH(A179,A:A,0))</f>
        <v>5.7</v>
      </c>
      <c r="Z180" s="5"/>
    </row>
    <row r="181" spans="1:26" x14ac:dyDescent="0.25">
      <c r="A181" s="21" t="s">
        <v>179</v>
      </c>
      <c r="B181" s="22">
        <v>6.1</v>
      </c>
      <c r="C181" s="22">
        <v>8.1999999999999993</v>
      </c>
      <c r="D181" s="22">
        <v>86.6</v>
      </c>
      <c r="E181" s="22">
        <v>52</v>
      </c>
      <c r="F181" s="22">
        <v>31.4</v>
      </c>
      <c r="G181" s="15" t="str">
        <f t="shared" si="10"/>
        <v>Pass</v>
      </c>
      <c r="H181" s="13"/>
      <c r="I181" t="str">
        <f t="shared" si="11"/>
        <v>Pass</v>
      </c>
      <c r="J181">
        <f>INDEX(C:C,MATCH(A180,A:A,0))</f>
        <v>5.6</v>
      </c>
      <c r="Z181" s="4"/>
    </row>
    <row r="182" spans="1:26" x14ac:dyDescent="0.25">
      <c r="A182" s="19" t="s">
        <v>180</v>
      </c>
      <c r="B182" s="20">
        <v>9</v>
      </c>
      <c r="C182" s="20">
        <v>7.6</v>
      </c>
      <c r="D182" s="20">
        <v>63.4</v>
      </c>
      <c r="E182" s="20">
        <v>67</v>
      </c>
      <c r="F182" s="20">
        <v>38.4</v>
      </c>
      <c r="G182" s="15" t="str">
        <f t="shared" si="10"/>
        <v>Pass</v>
      </c>
      <c r="H182" s="13"/>
      <c r="I182" t="str">
        <f t="shared" si="11"/>
        <v>Pass</v>
      </c>
      <c r="J182">
        <f>INDEX(C:C,MATCH(A181,A:A,0))</f>
        <v>8.1999999999999993</v>
      </c>
      <c r="Z182" s="5"/>
    </row>
    <row r="183" spans="1:26" x14ac:dyDescent="0.25">
      <c r="A183" s="21" t="s">
        <v>181</v>
      </c>
      <c r="B183" s="22">
        <v>8.4</v>
      </c>
      <c r="C183" s="22">
        <v>5.5</v>
      </c>
      <c r="D183" s="22">
        <v>92.6</v>
      </c>
      <c r="E183" s="22">
        <v>47</v>
      </c>
      <c r="F183" s="22">
        <v>36.1</v>
      </c>
      <c r="G183" s="15" t="str">
        <f t="shared" si="10"/>
        <v>Pass</v>
      </c>
      <c r="H183" s="13"/>
      <c r="I183" t="str">
        <f t="shared" si="11"/>
        <v>Pass</v>
      </c>
      <c r="J183">
        <f>INDEX(C:C,MATCH(A182,A:A,0))</f>
        <v>7.6</v>
      </c>
      <c r="Z183" s="4"/>
    </row>
    <row r="184" spans="1:26" x14ac:dyDescent="0.25">
      <c r="A184" s="19" t="s">
        <v>182</v>
      </c>
      <c r="B184" s="20">
        <v>11.8</v>
      </c>
      <c r="C184" s="20">
        <v>5.5</v>
      </c>
      <c r="D184" s="20">
        <v>91.5</v>
      </c>
      <c r="E184" s="20">
        <v>74</v>
      </c>
      <c r="F184" s="20">
        <v>44.1</v>
      </c>
      <c r="G184" s="15" t="str">
        <f t="shared" si="10"/>
        <v>Pass</v>
      </c>
      <c r="H184" s="13"/>
      <c r="I184" t="str">
        <f t="shared" si="11"/>
        <v>Pass</v>
      </c>
      <c r="J184">
        <f>INDEX(C:C,MATCH(A183,A:A,0))</f>
        <v>5.5</v>
      </c>
      <c r="Z184" s="5"/>
    </row>
    <row r="185" spans="1:26" x14ac:dyDescent="0.25">
      <c r="A185" s="21" t="s">
        <v>183</v>
      </c>
      <c r="B185" s="22">
        <v>2.1</v>
      </c>
      <c r="C185" s="22">
        <v>6</v>
      </c>
      <c r="D185" s="22">
        <v>54.3</v>
      </c>
      <c r="E185" s="22">
        <v>54</v>
      </c>
      <c r="F185" s="22">
        <v>19.399999999999999</v>
      </c>
      <c r="G185" s="15" t="str">
        <f t="shared" si="10"/>
        <v>Pass</v>
      </c>
      <c r="H185" s="13"/>
      <c r="I185" t="str">
        <f t="shared" si="11"/>
        <v>Pass</v>
      </c>
      <c r="J185">
        <f>INDEX(C:C,MATCH(A184,A:A,0))</f>
        <v>5.5</v>
      </c>
      <c r="Z185" s="4"/>
    </row>
    <row r="186" spans="1:26" x14ac:dyDescent="0.25">
      <c r="A186" s="19" t="s">
        <v>184</v>
      </c>
      <c r="B186" s="20">
        <v>5.4</v>
      </c>
      <c r="C186" s="20">
        <v>6</v>
      </c>
      <c r="D186" s="20">
        <v>94.1</v>
      </c>
      <c r="E186" s="20">
        <v>81</v>
      </c>
      <c r="F186" s="20">
        <v>39.4</v>
      </c>
      <c r="G186" s="15" t="str">
        <f t="shared" si="10"/>
        <v>Pass</v>
      </c>
      <c r="H186" s="13"/>
      <c r="I186" t="str">
        <f t="shared" si="11"/>
        <v>Fail</v>
      </c>
      <c r="J186">
        <f>INDEX(C:C,MATCH(A185,A:A,0))</f>
        <v>6</v>
      </c>
      <c r="Z186" s="5"/>
    </row>
    <row r="187" spans="1:26" x14ac:dyDescent="0.25">
      <c r="A187" s="21" t="s">
        <v>185</v>
      </c>
      <c r="B187" s="22">
        <v>4.7</v>
      </c>
      <c r="C187" s="22">
        <v>5.5</v>
      </c>
      <c r="D187" s="22">
        <v>62.2</v>
      </c>
      <c r="E187" s="22">
        <v>49</v>
      </c>
      <c r="F187" s="22">
        <v>22.9</v>
      </c>
      <c r="G187" s="15" t="str">
        <f t="shared" si="10"/>
        <v>Pass</v>
      </c>
      <c r="H187" s="13"/>
      <c r="I187" t="str">
        <f t="shared" si="11"/>
        <v>Pass</v>
      </c>
      <c r="J187">
        <f>INDEX(C:C,MATCH(A186,A:A,0))</f>
        <v>6</v>
      </c>
      <c r="Z187" s="4"/>
    </row>
    <row r="188" spans="1:26" x14ac:dyDescent="0.25">
      <c r="A188" s="19" t="s">
        <v>186</v>
      </c>
      <c r="B188" s="20">
        <v>10.5</v>
      </c>
      <c r="C188" s="20">
        <v>4.5999999999999996</v>
      </c>
      <c r="D188" s="20">
        <v>73.2</v>
      </c>
      <c r="E188" s="20">
        <v>57</v>
      </c>
      <c r="F188" s="20">
        <v>36.200000000000003</v>
      </c>
      <c r="G188" s="15" t="str">
        <f t="shared" si="10"/>
        <v>Pass</v>
      </c>
      <c r="H188" s="13"/>
      <c r="I188" t="str">
        <f t="shared" si="11"/>
        <v>Fail</v>
      </c>
      <c r="J188">
        <f>INDEX(C:C,MATCH(A187,A:A,0))</f>
        <v>5.5</v>
      </c>
      <c r="Z188" s="5"/>
    </row>
    <row r="189" spans="1:26" x14ac:dyDescent="0.25">
      <c r="A189" s="21" t="s">
        <v>187</v>
      </c>
      <c r="B189" s="22">
        <v>3.7</v>
      </c>
      <c r="C189" s="22">
        <v>6.1</v>
      </c>
      <c r="D189" s="22">
        <v>80.5</v>
      </c>
      <c r="E189" s="22">
        <v>92</v>
      </c>
      <c r="F189" s="22">
        <v>33.4</v>
      </c>
      <c r="G189" s="15" t="str">
        <f t="shared" si="10"/>
        <v>Pass</v>
      </c>
      <c r="H189" s="13"/>
      <c r="I189" t="str">
        <f t="shared" si="11"/>
        <v>Pass</v>
      </c>
      <c r="J189">
        <f>INDEX(C:C,MATCH(A188,A:A,0))</f>
        <v>4.5999999999999996</v>
      </c>
      <c r="Z189" s="4"/>
    </row>
    <row r="190" spans="1:26" x14ac:dyDescent="0.25">
      <c r="A190" s="19" t="s">
        <v>188</v>
      </c>
      <c r="B190" s="20">
        <v>3.1</v>
      </c>
      <c r="C190" s="20">
        <v>8.6999999999999993</v>
      </c>
      <c r="D190" s="20">
        <v>68.900000000000006</v>
      </c>
      <c r="E190" s="20">
        <v>49</v>
      </c>
      <c r="F190" s="20">
        <v>23.4</v>
      </c>
      <c r="G190" s="15" t="str">
        <f t="shared" si="10"/>
        <v>Pass</v>
      </c>
      <c r="H190" s="13"/>
      <c r="I190" t="str">
        <f t="shared" si="11"/>
        <v>Pass</v>
      </c>
      <c r="J190">
        <f>INDEX(C:C,MATCH(A189,A:A,0))</f>
        <v>6.1</v>
      </c>
      <c r="Z190" s="5"/>
    </row>
    <row r="191" spans="1:26" x14ac:dyDescent="0.25">
      <c r="A191" s="21" t="s">
        <v>189</v>
      </c>
      <c r="B191" s="22">
        <v>5.9</v>
      </c>
      <c r="C191" s="22">
        <v>7.4</v>
      </c>
      <c r="D191" s="22">
        <v>51.4</v>
      </c>
      <c r="E191" s="22">
        <v>44</v>
      </c>
      <c r="F191" s="22">
        <v>28</v>
      </c>
      <c r="G191" s="15" t="str">
        <f t="shared" si="10"/>
        <v>Pass</v>
      </c>
      <c r="H191" s="13"/>
      <c r="I191" t="str">
        <f t="shared" si="11"/>
        <v>Fail</v>
      </c>
      <c r="J191">
        <f>INDEX(C:C,MATCH(A190,A:A,0))</f>
        <v>8.6999999999999993</v>
      </c>
      <c r="Z191" s="4"/>
    </row>
    <row r="192" spans="1:26" x14ac:dyDescent="0.25">
      <c r="A192" s="19" t="s">
        <v>190</v>
      </c>
      <c r="B192" s="20">
        <v>5.6</v>
      </c>
      <c r="C192" s="20">
        <v>8.5</v>
      </c>
      <c r="D192" s="20">
        <v>92.5</v>
      </c>
      <c r="E192" s="20">
        <v>43</v>
      </c>
      <c r="F192" s="20">
        <v>32.200000000000003</v>
      </c>
      <c r="G192" s="15" t="str">
        <f t="shared" si="10"/>
        <v>Pass</v>
      </c>
      <c r="H192" s="13"/>
      <c r="I192" t="str">
        <f t="shared" si="11"/>
        <v>Fail</v>
      </c>
      <c r="J192">
        <f>INDEX(C:C,MATCH(A191,A:A,0))</f>
        <v>7.4</v>
      </c>
      <c r="Z192" s="5"/>
    </row>
    <row r="193" spans="1:26" x14ac:dyDescent="0.25">
      <c r="A193" s="21" t="s">
        <v>191</v>
      </c>
      <c r="B193" s="22">
        <v>4.0999999999999996</v>
      </c>
      <c r="C193" s="22">
        <v>7.1</v>
      </c>
      <c r="D193" s="22">
        <v>59.1</v>
      </c>
      <c r="E193" s="22">
        <v>50</v>
      </c>
      <c r="F193" s="22">
        <v>30.7</v>
      </c>
      <c r="G193" s="15" t="str">
        <f t="shared" si="10"/>
        <v>Pass</v>
      </c>
      <c r="H193" s="13"/>
      <c r="I193" t="str">
        <f t="shared" si="11"/>
        <v>Pass</v>
      </c>
      <c r="J193">
        <f>INDEX(C:C,MATCH(A192,A:A,0))</f>
        <v>8.5</v>
      </c>
      <c r="Z193" s="4"/>
    </row>
    <row r="194" spans="1:26" x14ac:dyDescent="0.25">
      <c r="A194" s="19" t="s">
        <v>192</v>
      </c>
      <c r="B194" s="20">
        <v>3.7</v>
      </c>
      <c r="C194" s="20">
        <v>5.5</v>
      </c>
      <c r="D194" s="20">
        <v>60.6</v>
      </c>
      <c r="E194" s="20">
        <v>90</v>
      </c>
      <c r="F194" s="20">
        <v>28.8</v>
      </c>
      <c r="G194" s="15" t="str">
        <f t="shared" ref="G194:G201" si="12">IF(E193&gt;=30,"Pass","Fail")</f>
        <v>Pass</v>
      </c>
      <c r="H194" s="13"/>
      <c r="I194" t="str">
        <f t="shared" si="11"/>
        <v>Pass</v>
      </c>
      <c r="J194">
        <f>INDEX(C:C,MATCH(A193,A:A,0))</f>
        <v>7.1</v>
      </c>
      <c r="Z194" s="5"/>
    </row>
    <row r="195" spans="1:26" x14ac:dyDescent="0.25">
      <c r="A195" s="21" t="s">
        <v>193</v>
      </c>
      <c r="B195" s="22">
        <v>11.2</v>
      </c>
      <c r="C195" s="22">
        <v>6.7</v>
      </c>
      <c r="D195" s="22">
        <v>89.9</v>
      </c>
      <c r="E195" s="22">
        <v>59</v>
      </c>
      <c r="F195" s="22">
        <v>46.7</v>
      </c>
      <c r="G195" s="15" t="str">
        <f t="shared" si="12"/>
        <v>Pass</v>
      </c>
      <c r="H195" s="13"/>
      <c r="I195" t="str">
        <f t="shared" ref="I195:I202" si="13">IF(F194&gt;=30,"Pass","Fail")</f>
        <v>Fail</v>
      </c>
      <c r="J195">
        <f>INDEX(C:C,MATCH(A194,A:A,0))</f>
        <v>5.5</v>
      </c>
      <c r="Z195" s="4"/>
    </row>
    <row r="196" spans="1:26" x14ac:dyDescent="0.25">
      <c r="A196" s="19" t="s">
        <v>194</v>
      </c>
      <c r="B196" s="20">
        <v>5.9</v>
      </c>
      <c r="C196" s="20">
        <v>4</v>
      </c>
      <c r="D196" s="20">
        <v>67</v>
      </c>
      <c r="E196" s="20">
        <v>78</v>
      </c>
      <c r="F196" s="20">
        <v>33.799999999999997</v>
      </c>
      <c r="G196" s="15" t="str">
        <f t="shared" si="12"/>
        <v>Pass</v>
      </c>
      <c r="H196" s="13"/>
      <c r="I196" t="str">
        <f t="shared" si="13"/>
        <v>Pass</v>
      </c>
      <c r="J196">
        <f>INDEX(C:C,MATCH(A195,A:A,0))</f>
        <v>6.7</v>
      </c>
      <c r="Z196" s="5"/>
    </row>
    <row r="197" spans="1:26" x14ac:dyDescent="0.25">
      <c r="A197" s="21" t="s">
        <v>195</v>
      </c>
      <c r="B197" s="22">
        <v>10.5</v>
      </c>
      <c r="C197" s="22">
        <v>5.4</v>
      </c>
      <c r="D197" s="22">
        <v>94</v>
      </c>
      <c r="E197" s="22">
        <v>87</v>
      </c>
      <c r="F197" s="22">
        <v>42.7</v>
      </c>
      <c r="G197" s="15" t="str">
        <f t="shared" si="12"/>
        <v>Pass</v>
      </c>
      <c r="H197" s="13"/>
      <c r="I197" t="str">
        <f t="shared" si="13"/>
        <v>Pass</v>
      </c>
      <c r="J197">
        <f>INDEX(C:C,MATCH(A196,A:A,0))</f>
        <v>4</v>
      </c>
      <c r="Z197" s="4"/>
    </row>
    <row r="198" spans="1:26" x14ac:dyDescent="0.25">
      <c r="A198" s="19" t="s">
        <v>196</v>
      </c>
      <c r="B198" s="20">
        <v>7.1</v>
      </c>
      <c r="C198" s="20">
        <v>6.1</v>
      </c>
      <c r="D198" s="20">
        <v>85.1</v>
      </c>
      <c r="E198" s="20">
        <v>92</v>
      </c>
      <c r="F198" s="20">
        <v>40.4</v>
      </c>
      <c r="G198" s="15" t="str">
        <f t="shared" si="12"/>
        <v>Pass</v>
      </c>
      <c r="H198" s="13"/>
      <c r="I198" t="str">
        <f t="shared" si="13"/>
        <v>Pass</v>
      </c>
      <c r="J198">
        <f>INDEX(C:C,MATCH(A197,A:A,0))</f>
        <v>5.4</v>
      </c>
      <c r="Z198" s="5"/>
    </row>
    <row r="199" spans="1:26" x14ac:dyDescent="0.25">
      <c r="A199" s="21" t="s">
        <v>197</v>
      </c>
      <c r="B199" s="22">
        <v>1.6</v>
      </c>
      <c r="C199" s="22">
        <v>6.9</v>
      </c>
      <c r="D199" s="22">
        <v>63.8</v>
      </c>
      <c r="E199" s="22">
        <v>76</v>
      </c>
      <c r="F199" s="22">
        <v>28.2</v>
      </c>
      <c r="G199" s="15" t="str">
        <f t="shared" si="12"/>
        <v>Pass</v>
      </c>
      <c r="H199" s="13"/>
      <c r="I199" t="str">
        <f t="shared" si="13"/>
        <v>Pass</v>
      </c>
      <c r="J199">
        <f>INDEX(C:C,MATCH(A198,A:A,0))</f>
        <v>6.1</v>
      </c>
      <c r="Z199" s="4"/>
    </row>
    <row r="200" spans="1:26" x14ac:dyDescent="0.25">
      <c r="A200" s="19" t="s">
        <v>198</v>
      </c>
      <c r="B200" s="20">
        <v>12</v>
      </c>
      <c r="C200" s="20">
        <v>7.3</v>
      </c>
      <c r="D200" s="20">
        <v>50.5</v>
      </c>
      <c r="E200" s="20">
        <v>58</v>
      </c>
      <c r="F200" s="20">
        <v>42</v>
      </c>
      <c r="G200" s="15" t="str">
        <f t="shared" si="12"/>
        <v>Pass</v>
      </c>
      <c r="H200" s="13"/>
      <c r="I200" t="str">
        <f t="shared" si="13"/>
        <v>Fail</v>
      </c>
      <c r="J200">
        <f>INDEX(C:C,MATCH(A199,A:A,0))</f>
        <v>6.9</v>
      </c>
      <c r="Z200" s="5"/>
    </row>
    <row r="201" spans="1:26" x14ac:dyDescent="0.25">
      <c r="A201" s="21" t="s">
        <v>199</v>
      </c>
      <c r="B201" s="22">
        <v>10.199999999999999</v>
      </c>
      <c r="C201" s="22">
        <v>6.3</v>
      </c>
      <c r="D201" s="22">
        <v>97.4</v>
      </c>
      <c r="E201" s="22">
        <v>68</v>
      </c>
      <c r="F201" s="22">
        <v>37.799999999999997</v>
      </c>
      <c r="G201" s="15" t="str">
        <f t="shared" si="12"/>
        <v>Pass</v>
      </c>
      <c r="H201" s="13"/>
      <c r="I201" t="str">
        <f t="shared" si="13"/>
        <v>Pass</v>
      </c>
      <c r="J201">
        <f>INDEX(C:C,MATCH(A200,A:A,0))</f>
        <v>7.3</v>
      </c>
      <c r="Z201" s="4"/>
    </row>
    <row r="202" spans="1:26" x14ac:dyDescent="0.25">
      <c r="G202" s="9"/>
      <c r="H202" s="13"/>
      <c r="I202" t="str">
        <f t="shared" si="13"/>
        <v>Pass</v>
      </c>
      <c r="J202">
        <f>INDEX(C:C,MATCH(A201,A:A,0))</f>
        <v>6.3</v>
      </c>
      <c r="Z202" s="6"/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>
      <selection activeCell="A2" sqref="A2:O29"/>
    </sheetView>
  </sheetViews>
  <sheetFormatPr defaultRowHeight="15" x14ac:dyDescent="0.25"/>
  <sheetData/>
  <pageMargins left="0.7" right="0.7" top="0.75" bottom="0.75" header="0.3" footer="0.3"/>
  <pageSetup scale="8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Sheet13</vt:lpstr>
      <vt:lpstr>Sheet15</vt:lpstr>
      <vt:lpstr>cleaned dataset</vt:lpstr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2025-11-01T13:35:44Z</cp:lastPrinted>
  <dcterms:created xsi:type="dcterms:W3CDTF">2025-11-01T06:15:17Z</dcterms:created>
  <dcterms:modified xsi:type="dcterms:W3CDTF">2025-11-02T04:51:06Z</dcterms:modified>
</cp:coreProperties>
</file>